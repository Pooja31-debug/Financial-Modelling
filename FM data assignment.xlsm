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osi\Downloads\"/>
    </mc:Choice>
  </mc:AlternateContent>
  <xr:revisionPtr revIDLastSave="0" documentId="13_ncr:1_{67E44760-3439-4048-B5D2-254708FA6B89}" xr6:coauthVersionLast="47" xr6:coauthVersionMax="47" xr10:uidLastSave="{00000000-0000-0000-0000-000000000000}"/>
  <bookViews>
    <workbookView xWindow="-120" yWindow="-120" windowWidth="20730" windowHeight="11160" tabRatio="959" firstSheet="2" activeTab="4" xr2:uid="{00000000-000D-0000-FFFF-FFFF00000000}"/>
  </bookViews>
  <sheets>
    <sheet name="S&amp;P500 List" sheetId="3" r:id="rId1"/>
    <sheet name="Price_Data" sheetId="4" r:id="rId2"/>
    <sheet name="Portfolio_Template" sheetId="1" r:id="rId3"/>
    <sheet name="Portfolio_BestFund" sheetId="27" r:id="rId4"/>
    <sheet name="Returns" sheetId="2" r:id="rId5"/>
    <sheet name="efficient portfolio" sheetId="32" r:id="rId6"/>
    <sheet name="Frontier" sheetId="38" r:id="rId7"/>
    <sheet name="Efficient Solver Portfolio" sheetId="39" r:id="rId8"/>
    <sheet name="regression" sheetId="30" r:id="rId9"/>
    <sheet name="Regression 2" sheetId="36" r:id="rId10"/>
    <sheet name="covar" sheetId="31" r:id="rId11"/>
    <sheet name="calculations" sheetId="28" r:id="rId12"/>
  </sheets>
  <definedNames>
    <definedName name="_xleta.VALUE" hidden="1" xlm="1">#NAME?</definedName>
    <definedName name="constant">'Efficient Solver Portfolio'!$B$15</definedName>
    <definedName name="pmean">'Efficient Solver Portfolio'!$B$27</definedName>
    <definedName name="proportions">'Efficient Solver Portfolio'!$B$16:$B$25</definedName>
    <definedName name="psigma">'Efficient Solver Portfolio'!$B$28</definedName>
    <definedName name="solver_adj" localSheetId="5" hidden="1">'efficient portfolio'!$B$16:$B$25</definedName>
    <definedName name="solver_adj" localSheetId="7" hidden="1">'Efficient Solver Portfolio'!$B$16:$B$25</definedName>
    <definedName name="solver_cvg" localSheetId="5" hidden="1">0.0001</definedName>
    <definedName name="solver_cvg" localSheetId="7" hidden="1">0.0001</definedName>
    <definedName name="solver_drv" localSheetId="5" hidden="1">1</definedName>
    <definedName name="solver_drv" localSheetId="7" hidden="1">1</definedName>
    <definedName name="solver_eng" localSheetId="5" hidden="1">1</definedName>
    <definedName name="solver_eng" localSheetId="7" hidden="1">1</definedName>
    <definedName name="solver_est" localSheetId="5" hidden="1">1</definedName>
    <definedName name="solver_est" localSheetId="7" hidden="1">1</definedName>
    <definedName name="solver_itr" localSheetId="5" hidden="1">2147483647</definedName>
    <definedName name="solver_itr" localSheetId="7" hidden="1">2147483647</definedName>
    <definedName name="solver_lhs1" localSheetId="5" hidden="1">'efficient portfolio'!$B$4:$K$4</definedName>
    <definedName name="solver_lhs1" localSheetId="7" hidden="1">'Efficient Solver Portfolio'!$B$26</definedName>
    <definedName name="solver_lhs10" localSheetId="5" hidden="1">'efficient portfolio'!$B$16:$B$25</definedName>
    <definedName name="solver_lhs10" localSheetId="7" hidden="1">'Efficient Solver Portfolio'!$B$16:$B$25</definedName>
    <definedName name="solver_lhs11" localSheetId="5" hidden="1">'efficient portfolio'!$B$26</definedName>
    <definedName name="solver_lhs11" localSheetId="7" hidden="1">'Efficient Solver Portfolio'!$B$26</definedName>
    <definedName name="solver_lhs12" localSheetId="5" hidden="1">'efficient portfolio'!$B$16:$B$25</definedName>
    <definedName name="solver_lhs12" localSheetId="7" hidden="1">'Efficient Solver Portfolio'!$B$16:$B$25</definedName>
    <definedName name="solver_lhs13" localSheetId="5" hidden="1">'efficient portfolio'!$B$26</definedName>
    <definedName name="solver_lhs13" localSheetId="7" hidden="1">'Efficient Solver Portfolio'!$B$26</definedName>
    <definedName name="solver_lhs14" localSheetId="5" hidden="1">'efficient portfolio'!$B$16:$B$25</definedName>
    <definedName name="solver_lhs14" localSheetId="7" hidden="1">'Efficient Solver Portfolio'!$B$16:$B$25</definedName>
    <definedName name="solver_lhs15" localSheetId="5" hidden="1">'efficient portfolio'!$B$26</definedName>
    <definedName name="solver_lhs15" localSheetId="7" hidden="1">'Efficient Solver Portfolio'!$B$26</definedName>
    <definedName name="solver_lhs16" localSheetId="5" hidden="1">'efficient portfolio'!$B$16:$B$25</definedName>
    <definedName name="solver_lhs16" localSheetId="7" hidden="1">'Efficient Solver Portfolio'!$B$16:$B$25</definedName>
    <definedName name="solver_lhs17" localSheetId="5" hidden="1">'efficient portfolio'!$B$26</definedName>
    <definedName name="solver_lhs17" localSheetId="7" hidden="1">'Efficient Solver Portfolio'!$B$26</definedName>
    <definedName name="solver_lhs18" localSheetId="5" hidden="1">'efficient portfolio'!$B$16:$B$25</definedName>
    <definedName name="solver_lhs18" localSheetId="7" hidden="1">'Efficient Solver Portfolio'!$B$16:$B$25</definedName>
    <definedName name="solver_lhs19" localSheetId="5" hidden="1">'efficient portfolio'!$B$26</definedName>
    <definedName name="solver_lhs19" localSheetId="7" hidden="1">'Efficient Solver Portfolio'!$B$26</definedName>
    <definedName name="solver_lhs2" localSheetId="5" hidden="1">'efficient portfolio'!$B$6</definedName>
    <definedName name="solver_lhs2" localSheetId="7" hidden="1">'Efficient Solver Portfolio'!$B$16:$B$25</definedName>
    <definedName name="solver_lhs20" localSheetId="5" hidden="1">'efficient portfolio'!$B$16:$B$25</definedName>
    <definedName name="solver_lhs20" localSheetId="7" hidden="1">'Efficient Solver Portfolio'!$B$16:$B$25</definedName>
    <definedName name="solver_lhs21" localSheetId="5" hidden="1">'efficient portfolio'!$B$26</definedName>
    <definedName name="solver_lhs21" localSheetId="7" hidden="1">'Efficient Solver Portfolio'!$B$26</definedName>
    <definedName name="solver_lhs22" localSheetId="5" hidden="1">'efficient portfolio'!$B$16:$B$25</definedName>
    <definedName name="solver_lhs22" localSheetId="7" hidden="1">'Efficient Solver Portfolio'!$B$16:$B$25</definedName>
    <definedName name="solver_lhs23" localSheetId="5" hidden="1">'efficient portfolio'!$B$26</definedName>
    <definedName name="solver_lhs23" localSheetId="7" hidden="1">'Efficient Solver Portfolio'!$B$26</definedName>
    <definedName name="solver_lhs24" localSheetId="5" hidden="1">'efficient portfolio'!$B$16:$B$25</definedName>
    <definedName name="solver_lhs24" localSheetId="7" hidden="1">'Efficient Solver Portfolio'!$B$16:$B$25</definedName>
    <definedName name="solver_lhs25" localSheetId="5" hidden="1">'efficient portfolio'!$B$26</definedName>
    <definedName name="solver_lhs25" localSheetId="7" hidden="1">'Efficient Solver Portfolio'!$B$26</definedName>
    <definedName name="solver_lhs26" localSheetId="5" hidden="1">'efficient portfolio'!$B$16:$B$25</definedName>
    <definedName name="solver_lhs26" localSheetId="7" hidden="1">'Efficient Solver Portfolio'!$B$16:$B$25</definedName>
    <definedName name="solver_lhs27" localSheetId="5" hidden="1">'efficient portfolio'!$B$26</definedName>
    <definedName name="solver_lhs27" localSheetId="7" hidden="1">'Efficient Solver Portfolio'!$B$26</definedName>
    <definedName name="solver_lhs28" localSheetId="5" hidden="1">'efficient portfolio'!$B$16:$B$25</definedName>
    <definedName name="solver_lhs28" localSheetId="7" hidden="1">'Efficient Solver Portfolio'!$B$16:$B$25</definedName>
    <definedName name="solver_lhs29" localSheetId="5" hidden="1">'efficient portfolio'!$B$26</definedName>
    <definedName name="solver_lhs29" localSheetId="7" hidden="1">'Efficient Solver Portfolio'!$B$26</definedName>
    <definedName name="solver_lhs3" localSheetId="5" hidden="1">'efficient portfolio'!$B$26</definedName>
    <definedName name="solver_lhs3" localSheetId="7" hidden="1">'Efficient Solver Portfolio'!$B$26</definedName>
    <definedName name="solver_lhs30" localSheetId="5" hidden="1">'efficient portfolio'!$B$16:$B$25</definedName>
    <definedName name="solver_lhs30" localSheetId="7" hidden="1">'Efficient Solver Portfolio'!$B$16:$B$25</definedName>
    <definedName name="solver_lhs31" localSheetId="5" hidden="1">'efficient portfolio'!$B$26</definedName>
    <definedName name="solver_lhs31" localSheetId="7" hidden="1">'Efficient Solver Portfolio'!$B$26</definedName>
    <definedName name="solver_lhs32" localSheetId="5" hidden="1">'efficient portfolio'!$B$16:$B$25</definedName>
    <definedName name="solver_lhs32" localSheetId="7" hidden="1">'Efficient Solver Portfolio'!$B$16:$B$25</definedName>
    <definedName name="solver_lhs33" localSheetId="5" hidden="1">'efficient portfolio'!$B$26</definedName>
    <definedName name="solver_lhs33" localSheetId="7" hidden="1">'Efficient Solver Portfolio'!$B$26</definedName>
    <definedName name="solver_lhs34" localSheetId="5" hidden="1">'efficient portfolio'!$B$16:$B$25</definedName>
    <definedName name="solver_lhs34" localSheetId="7" hidden="1">'Efficient Solver Portfolio'!$B$16:$B$25</definedName>
    <definedName name="solver_lhs35" localSheetId="5" hidden="1">'efficient portfolio'!$B$26</definedName>
    <definedName name="solver_lhs35" localSheetId="7" hidden="1">'Efficient Solver Portfolio'!$B$26</definedName>
    <definedName name="solver_lhs36" localSheetId="5" hidden="1">'efficient portfolio'!$B$16:$B$25</definedName>
    <definedName name="solver_lhs36" localSheetId="7" hidden="1">'Efficient Solver Portfolio'!$B$16:$B$25</definedName>
    <definedName name="solver_lhs37" localSheetId="5" hidden="1">'efficient portfolio'!$B$26</definedName>
    <definedName name="solver_lhs37" localSheetId="7" hidden="1">'Efficient Solver Portfolio'!$B$26</definedName>
    <definedName name="solver_lhs38" localSheetId="5" hidden="1">'efficient portfolio'!$B$16:$B$25</definedName>
    <definedName name="solver_lhs38" localSheetId="7" hidden="1">'Efficient Solver Portfolio'!$B$16:$B$25</definedName>
    <definedName name="solver_lhs39" localSheetId="5" hidden="1">'efficient portfolio'!$B$26</definedName>
    <definedName name="solver_lhs39" localSheetId="7" hidden="1">'Efficient Solver Portfolio'!$B$26</definedName>
    <definedName name="solver_lhs4" localSheetId="5" hidden="1">'efficient portfolio'!$B$16:$B$25</definedName>
    <definedName name="solver_lhs4" localSheetId="7" hidden="1">'Efficient Solver Portfolio'!$B$16:$B$25</definedName>
    <definedName name="solver_lhs40" localSheetId="5" hidden="1">'efficient portfolio'!$B$16:$B$25</definedName>
    <definedName name="solver_lhs40" localSheetId="7" hidden="1">'Efficient Solver Portfolio'!$B$16:$B$25</definedName>
    <definedName name="solver_lhs41" localSheetId="5" hidden="1">'efficient portfolio'!$B$26</definedName>
    <definedName name="solver_lhs41" localSheetId="7" hidden="1">'Efficient Solver Portfolio'!$B$26</definedName>
    <definedName name="solver_lhs42" localSheetId="5" hidden="1">'efficient portfolio'!$B$16:$B$25</definedName>
    <definedName name="solver_lhs42" localSheetId="7" hidden="1">'Efficient Solver Portfolio'!$B$16:$B$25</definedName>
    <definedName name="solver_lhs43" localSheetId="7" hidden="1">'Efficient Solver Portfolio'!$B$26</definedName>
    <definedName name="solver_lhs44" localSheetId="7" hidden="1">'Efficient Solver Portfolio'!$B$16:$B$25</definedName>
    <definedName name="solver_lhs45" localSheetId="7" hidden="1">'Efficient Solver Portfolio'!$B$26</definedName>
    <definedName name="solver_lhs46" localSheetId="7" hidden="1">'Efficient Solver Portfolio'!$B$16:$B$25</definedName>
    <definedName name="solver_lhs47" localSheetId="7" hidden="1">'Efficient Solver Portfolio'!$B$26</definedName>
    <definedName name="solver_lhs48" localSheetId="7" hidden="1">'Efficient Solver Portfolio'!$B$16:$B$25</definedName>
    <definedName name="solver_lhs49" localSheetId="7" hidden="1">'Efficient Solver Portfolio'!$B$26</definedName>
    <definedName name="solver_lhs5" localSheetId="5" hidden="1">'efficient portfolio'!$B$26</definedName>
    <definedName name="solver_lhs5" localSheetId="7" hidden="1">'Efficient Solver Portfolio'!$B$26</definedName>
    <definedName name="solver_lhs50" localSheetId="7" hidden="1">'Efficient Solver Portfolio'!$B$16:$B$25</definedName>
    <definedName name="solver_lhs51" localSheetId="7" hidden="1">'Efficient Solver Portfolio'!$B$26</definedName>
    <definedName name="solver_lhs52" localSheetId="7" hidden="1">'Efficient Solver Portfolio'!$B$16:$B$25</definedName>
    <definedName name="solver_lhs53" localSheetId="7" hidden="1">'Efficient Solver Portfolio'!$B$26</definedName>
    <definedName name="solver_lhs54" localSheetId="7" hidden="1">'Efficient Solver Portfolio'!$B$16:$B$25</definedName>
    <definedName name="solver_lhs55" localSheetId="7" hidden="1">'Efficient Solver Portfolio'!$B$26</definedName>
    <definedName name="solver_lhs56" localSheetId="7" hidden="1">'Efficient Solver Portfolio'!$B$16:$B$25</definedName>
    <definedName name="solver_lhs57" localSheetId="7" hidden="1">'Efficient Solver Portfolio'!$B$26</definedName>
    <definedName name="solver_lhs58" localSheetId="7" hidden="1">'Efficient Solver Portfolio'!$B$16:$B$25</definedName>
    <definedName name="solver_lhs59" localSheetId="7" hidden="1">'Efficient Solver Portfolio'!$B$26</definedName>
    <definedName name="solver_lhs6" localSheetId="5" hidden="1">'efficient portfolio'!$B$16:$B$25</definedName>
    <definedName name="solver_lhs6" localSheetId="7" hidden="1">'Efficient Solver Portfolio'!$B$16:$B$25</definedName>
    <definedName name="solver_lhs60" localSheetId="7" hidden="1">'Efficient Solver Portfolio'!$B$16:$B$25</definedName>
    <definedName name="solver_lhs61" localSheetId="7" hidden="1">'Efficient Solver Portfolio'!$B$26</definedName>
    <definedName name="solver_lhs62" localSheetId="7" hidden="1">'Efficient Solver Portfolio'!$B$16:$B$25</definedName>
    <definedName name="solver_lhs63" localSheetId="7" hidden="1">'Efficient Solver Portfolio'!$B$26</definedName>
    <definedName name="solver_lhs64" localSheetId="7" hidden="1">'Efficient Solver Portfolio'!$B$16:$B$25</definedName>
    <definedName name="solver_lhs65" localSheetId="7" hidden="1">'Efficient Solver Portfolio'!$B$26</definedName>
    <definedName name="solver_lhs66" localSheetId="7" hidden="1">'Efficient Solver Portfolio'!$B$16:$B$25</definedName>
    <definedName name="solver_lhs67" localSheetId="7" hidden="1">'Efficient Solver Portfolio'!$B$26</definedName>
    <definedName name="solver_lhs68" localSheetId="7" hidden="1">'Efficient Solver Portfolio'!$B$16:$B$25</definedName>
    <definedName name="solver_lhs69" localSheetId="7" hidden="1">'Efficient Solver Portfolio'!$B$26</definedName>
    <definedName name="solver_lhs7" localSheetId="5" hidden="1">'efficient portfolio'!$B$26</definedName>
    <definedName name="solver_lhs7" localSheetId="7" hidden="1">'Efficient Solver Portfolio'!$B$26</definedName>
    <definedName name="solver_lhs70" localSheetId="7" hidden="1">'Efficient Solver Portfolio'!$B$16:$B$25</definedName>
    <definedName name="solver_lhs71" localSheetId="7" hidden="1">'Efficient Solver Portfolio'!$B$26</definedName>
    <definedName name="solver_lhs72" localSheetId="7" hidden="1">'Efficient Solver Portfolio'!$B$16:$B$25</definedName>
    <definedName name="solver_lhs73" localSheetId="7" hidden="1">'Efficient Solver Portfolio'!$B$26</definedName>
    <definedName name="solver_lhs74" localSheetId="7" hidden="1">'Efficient Solver Portfolio'!$B$16:$B$25</definedName>
    <definedName name="solver_lhs75" localSheetId="7" hidden="1">'Efficient Solver Portfolio'!$B$26</definedName>
    <definedName name="solver_lhs76" localSheetId="7" hidden="1">'Efficient Solver Portfolio'!$B$16:$B$25</definedName>
    <definedName name="solver_lhs77" localSheetId="7" hidden="1">'Efficient Solver Portfolio'!$B$26</definedName>
    <definedName name="solver_lhs78" localSheetId="7" hidden="1">'Efficient Solver Portfolio'!$B$16:$B$25</definedName>
    <definedName name="solver_lhs79" localSheetId="7" hidden="1">'Efficient Solver Portfolio'!$B$26</definedName>
    <definedName name="solver_lhs8" localSheetId="5" hidden="1">'efficient portfolio'!$B$16:$B$25</definedName>
    <definedName name="solver_lhs8" localSheetId="7" hidden="1">'Efficient Solver Portfolio'!$B$16:$B$25</definedName>
    <definedName name="solver_lhs80" localSheetId="7" hidden="1">'Efficient Solver Portfolio'!$B$16:$B$25</definedName>
    <definedName name="solver_lhs81" localSheetId="7" hidden="1">'Efficient Solver Portfolio'!$B$26</definedName>
    <definedName name="solver_lhs82" localSheetId="7" hidden="1">'Efficient Solver Portfolio'!$B$16:$B$25</definedName>
    <definedName name="solver_lhs83" localSheetId="7" hidden="1">'Efficient Solver Portfolio'!$B$26</definedName>
    <definedName name="solver_lhs84" localSheetId="7" hidden="1">'Efficient Solver Portfolio'!$B$16:$B$25</definedName>
    <definedName name="solver_lhs85" localSheetId="7" hidden="1">'Efficient Solver Portfolio'!$B$26</definedName>
    <definedName name="solver_lhs86" localSheetId="7" hidden="1">'Efficient Solver Portfolio'!$B$16:$B$25</definedName>
    <definedName name="solver_lhs9" localSheetId="5" hidden="1">'efficient portfolio'!$B$26</definedName>
    <definedName name="solver_lhs9" localSheetId="7" hidden="1">'Efficient Solver Portfolio'!$B$26</definedName>
    <definedName name="solver_mip" localSheetId="5" hidden="1">2147483647</definedName>
    <definedName name="solver_mip" localSheetId="7" hidden="1">2147483647</definedName>
    <definedName name="solver_mni" localSheetId="5" hidden="1">30</definedName>
    <definedName name="solver_mni" localSheetId="7" hidden="1">30</definedName>
    <definedName name="solver_mrt" localSheetId="5" hidden="1">0.075</definedName>
    <definedName name="solver_mrt" localSheetId="7" hidden="1">0.075</definedName>
    <definedName name="solver_msl" localSheetId="5" hidden="1">2</definedName>
    <definedName name="solver_msl" localSheetId="7" hidden="1">2</definedName>
    <definedName name="solver_neg" localSheetId="5" hidden="1">1</definedName>
    <definedName name="solver_neg" localSheetId="7" hidden="1">1</definedName>
    <definedName name="solver_nod" localSheetId="5" hidden="1">2147483647</definedName>
    <definedName name="solver_nod" localSheetId="7" hidden="1">2147483647</definedName>
    <definedName name="solver_num" localSheetId="5" hidden="1">42</definedName>
    <definedName name="solver_num" localSheetId="7" hidden="1">86</definedName>
    <definedName name="solver_nwt" localSheetId="5" hidden="1">1</definedName>
    <definedName name="solver_nwt" localSheetId="7" hidden="1">1</definedName>
    <definedName name="solver_opt" localSheetId="5" hidden="1">'efficient portfolio'!$B$29</definedName>
    <definedName name="solver_opt" localSheetId="7" hidden="1">'Efficient Solver Portfolio'!$B$29</definedName>
    <definedName name="solver_pre" localSheetId="5" hidden="1">0.000001</definedName>
    <definedName name="solver_pre" localSheetId="7" hidden="1">0.000001</definedName>
    <definedName name="solver_rbv" localSheetId="5" hidden="1">1</definedName>
    <definedName name="solver_rbv" localSheetId="7" hidden="1">1</definedName>
    <definedName name="solver_rel1" localSheetId="5" hidden="1">3</definedName>
    <definedName name="solver_rel1" localSheetId="7" hidden="1">2</definedName>
    <definedName name="solver_rel10" localSheetId="5" hidden="1">3</definedName>
    <definedName name="solver_rel10" localSheetId="7" hidden="1">3</definedName>
    <definedName name="solver_rel11" localSheetId="5" hidden="1">2</definedName>
    <definedName name="solver_rel11" localSheetId="7" hidden="1">2</definedName>
    <definedName name="solver_rel12" localSheetId="5" hidden="1">3</definedName>
    <definedName name="solver_rel12" localSheetId="7" hidden="1">3</definedName>
    <definedName name="solver_rel13" localSheetId="5" hidden="1">2</definedName>
    <definedName name="solver_rel13" localSheetId="7" hidden="1">2</definedName>
    <definedName name="solver_rel14" localSheetId="5" hidden="1">3</definedName>
    <definedName name="solver_rel14" localSheetId="7" hidden="1">3</definedName>
    <definedName name="solver_rel15" localSheetId="5" hidden="1">2</definedName>
    <definedName name="solver_rel15" localSheetId="7" hidden="1">2</definedName>
    <definedName name="solver_rel16" localSheetId="5" hidden="1">3</definedName>
    <definedName name="solver_rel16" localSheetId="7" hidden="1">3</definedName>
    <definedName name="solver_rel17" localSheetId="5" hidden="1">2</definedName>
    <definedName name="solver_rel17" localSheetId="7" hidden="1">2</definedName>
    <definedName name="solver_rel18" localSheetId="5" hidden="1">3</definedName>
    <definedName name="solver_rel18" localSheetId="7" hidden="1">3</definedName>
    <definedName name="solver_rel19" localSheetId="5" hidden="1">2</definedName>
    <definedName name="solver_rel19" localSheetId="7" hidden="1">2</definedName>
    <definedName name="solver_rel2" localSheetId="5" hidden="1">2</definedName>
    <definedName name="solver_rel2" localSheetId="7" hidden="1">3</definedName>
    <definedName name="solver_rel20" localSheetId="5" hidden="1">3</definedName>
    <definedName name="solver_rel20" localSheetId="7" hidden="1">3</definedName>
    <definedName name="solver_rel21" localSheetId="5" hidden="1">2</definedName>
    <definedName name="solver_rel21" localSheetId="7" hidden="1">2</definedName>
    <definedName name="solver_rel22" localSheetId="5" hidden="1">3</definedName>
    <definedName name="solver_rel22" localSheetId="7" hidden="1">3</definedName>
    <definedName name="solver_rel23" localSheetId="5" hidden="1">2</definedName>
    <definedName name="solver_rel23" localSheetId="7" hidden="1">2</definedName>
    <definedName name="solver_rel24" localSheetId="5" hidden="1">3</definedName>
    <definedName name="solver_rel24" localSheetId="7" hidden="1">3</definedName>
    <definedName name="solver_rel25" localSheetId="5" hidden="1">2</definedName>
    <definedName name="solver_rel25" localSheetId="7" hidden="1">2</definedName>
    <definedName name="solver_rel26" localSheetId="5" hidden="1">3</definedName>
    <definedName name="solver_rel26" localSheetId="7" hidden="1">3</definedName>
    <definedName name="solver_rel27" localSheetId="5" hidden="1">2</definedName>
    <definedName name="solver_rel27" localSheetId="7" hidden="1">2</definedName>
    <definedName name="solver_rel28" localSheetId="5" hidden="1">3</definedName>
    <definedName name="solver_rel28" localSheetId="7" hidden="1">3</definedName>
    <definedName name="solver_rel29" localSheetId="5" hidden="1">2</definedName>
    <definedName name="solver_rel29" localSheetId="7" hidden="1">2</definedName>
    <definedName name="solver_rel3" localSheetId="5" hidden="1">2</definedName>
    <definedName name="solver_rel3" localSheetId="7" hidden="1">2</definedName>
    <definedName name="solver_rel30" localSheetId="5" hidden="1">3</definedName>
    <definedName name="solver_rel30" localSheetId="7" hidden="1">3</definedName>
    <definedName name="solver_rel31" localSheetId="5" hidden="1">2</definedName>
    <definedName name="solver_rel31" localSheetId="7" hidden="1">2</definedName>
    <definedName name="solver_rel32" localSheetId="5" hidden="1">3</definedName>
    <definedName name="solver_rel32" localSheetId="7" hidden="1">3</definedName>
    <definedName name="solver_rel33" localSheetId="5" hidden="1">2</definedName>
    <definedName name="solver_rel33" localSheetId="7" hidden="1">2</definedName>
    <definedName name="solver_rel34" localSheetId="5" hidden="1">3</definedName>
    <definedName name="solver_rel34" localSheetId="7" hidden="1">3</definedName>
    <definedName name="solver_rel35" localSheetId="5" hidden="1">2</definedName>
    <definedName name="solver_rel35" localSheetId="7" hidden="1">2</definedName>
    <definedName name="solver_rel36" localSheetId="5" hidden="1">3</definedName>
    <definedName name="solver_rel36" localSheetId="7" hidden="1">3</definedName>
    <definedName name="solver_rel37" localSheetId="5" hidden="1">2</definedName>
    <definedName name="solver_rel37" localSheetId="7" hidden="1">2</definedName>
    <definedName name="solver_rel38" localSheetId="5" hidden="1">3</definedName>
    <definedName name="solver_rel38" localSheetId="7" hidden="1">3</definedName>
    <definedName name="solver_rel39" localSheetId="5" hidden="1">2</definedName>
    <definedName name="solver_rel39" localSheetId="7" hidden="1">2</definedName>
    <definedName name="solver_rel4" localSheetId="5" hidden="1">3</definedName>
    <definedName name="solver_rel4" localSheetId="7" hidden="1">3</definedName>
    <definedName name="solver_rel40" localSheetId="5" hidden="1">3</definedName>
    <definedName name="solver_rel40" localSheetId="7" hidden="1">3</definedName>
    <definedName name="solver_rel41" localSheetId="5" hidden="1">2</definedName>
    <definedName name="solver_rel41" localSheetId="7" hidden="1">2</definedName>
    <definedName name="solver_rel42" localSheetId="5" hidden="1">3</definedName>
    <definedName name="solver_rel42" localSheetId="7" hidden="1">3</definedName>
    <definedName name="solver_rel43" localSheetId="7" hidden="1">2</definedName>
    <definedName name="solver_rel44" localSheetId="7" hidden="1">3</definedName>
    <definedName name="solver_rel45" localSheetId="7" hidden="1">2</definedName>
    <definedName name="solver_rel46" localSheetId="7" hidden="1">3</definedName>
    <definedName name="solver_rel47" localSheetId="7" hidden="1">2</definedName>
    <definedName name="solver_rel48" localSheetId="7" hidden="1">3</definedName>
    <definedName name="solver_rel49" localSheetId="7" hidden="1">2</definedName>
    <definedName name="solver_rel5" localSheetId="5" hidden="1">2</definedName>
    <definedName name="solver_rel5" localSheetId="7" hidden="1">2</definedName>
    <definedName name="solver_rel50" localSheetId="7" hidden="1">3</definedName>
    <definedName name="solver_rel51" localSheetId="7" hidden="1">2</definedName>
    <definedName name="solver_rel52" localSheetId="7" hidden="1">3</definedName>
    <definedName name="solver_rel53" localSheetId="7" hidden="1">2</definedName>
    <definedName name="solver_rel54" localSheetId="7" hidden="1">3</definedName>
    <definedName name="solver_rel55" localSheetId="7" hidden="1">2</definedName>
    <definedName name="solver_rel56" localSheetId="7" hidden="1">3</definedName>
    <definedName name="solver_rel57" localSheetId="7" hidden="1">2</definedName>
    <definedName name="solver_rel58" localSheetId="7" hidden="1">3</definedName>
    <definedName name="solver_rel59" localSheetId="7" hidden="1">2</definedName>
    <definedName name="solver_rel6" localSheetId="5" hidden="1">3</definedName>
    <definedName name="solver_rel6" localSheetId="7" hidden="1">3</definedName>
    <definedName name="solver_rel60" localSheetId="7" hidden="1">3</definedName>
    <definedName name="solver_rel61" localSheetId="7" hidden="1">2</definedName>
    <definedName name="solver_rel62" localSheetId="7" hidden="1">3</definedName>
    <definedName name="solver_rel63" localSheetId="7" hidden="1">2</definedName>
    <definedName name="solver_rel64" localSheetId="7" hidden="1">3</definedName>
    <definedName name="solver_rel65" localSheetId="7" hidden="1">2</definedName>
    <definedName name="solver_rel66" localSheetId="7" hidden="1">3</definedName>
    <definedName name="solver_rel67" localSheetId="7" hidden="1">2</definedName>
    <definedName name="solver_rel68" localSheetId="7" hidden="1">3</definedName>
    <definedName name="solver_rel69" localSheetId="7" hidden="1">2</definedName>
    <definedName name="solver_rel7" localSheetId="5" hidden="1">2</definedName>
    <definedName name="solver_rel7" localSheetId="7" hidden="1">2</definedName>
    <definedName name="solver_rel70" localSheetId="7" hidden="1">3</definedName>
    <definedName name="solver_rel71" localSheetId="7" hidden="1">2</definedName>
    <definedName name="solver_rel72" localSheetId="7" hidden="1">3</definedName>
    <definedName name="solver_rel73" localSheetId="7" hidden="1">2</definedName>
    <definedName name="solver_rel74" localSheetId="7" hidden="1">3</definedName>
    <definedName name="solver_rel75" localSheetId="7" hidden="1">2</definedName>
    <definedName name="solver_rel76" localSheetId="7" hidden="1">3</definedName>
    <definedName name="solver_rel77" localSheetId="7" hidden="1">2</definedName>
    <definedName name="solver_rel78" localSheetId="7" hidden="1">3</definedName>
    <definedName name="solver_rel79" localSheetId="7" hidden="1">2</definedName>
    <definedName name="solver_rel8" localSheetId="5" hidden="1">3</definedName>
    <definedName name="solver_rel8" localSheetId="7" hidden="1">3</definedName>
    <definedName name="solver_rel80" localSheetId="7" hidden="1">3</definedName>
    <definedName name="solver_rel81" localSheetId="7" hidden="1">2</definedName>
    <definedName name="solver_rel82" localSheetId="7" hidden="1">3</definedName>
    <definedName name="solver_rel83" localSheetId="7" hidden="1">2</definedName>
    <definedName name="solver_rel84" localSheetId="7" hidden="1">3</definedName>
    <definedName name="solver_rel85" localSheetId="7" hidden="1">2</definedName>
    <definedName name="solver_rel86" localSheetId="7" hidden="1">3</definedName>
    <definedName name="solver_rel9" localSheetId="5" hidden="1">2</definedName>
    <definedName name="solver_rel9" localSheetId="7" hidden="1">2</definedName>
    <definedName name="solver_rhs1" localSheetId="5" hidden="1">0</definedName>
    <definedName name="solver_rhs1" localSheetId="7" hidden="1">1</definedName>
    <definedName name="solver_rhs10" localSheetId="5" hidden="1">0</definedName>
    <definedName name="solver_rhs10" localSheetId="7" hidden="1">0</definedName>
    <definedName name="solver_rhs11" localSheetId="5" hidden="1">1</definedName>
    <definedName name="solver_rhs11" localSheetId="7" hidden="1">1</definedName>
    <definedName name="solver_rhs12" localSheetId="5" hidden="1">0</definedName>
    <definedName name="solver_rhs12" localSheetId="7" hidden="1">0</definedName>
    <definedName name="solver_rhs13" localSheetId="5" hidden="1">1</definedName>
    <definedName name="solver_rhs13" localSheetId="7" hidden="1">1</definedName>
    <definedName name="solver_rhs14" localSheetId="5" hidden="1">0</definedName>
    <definedName name="solver_rhs14" localSheetId="7" hidden="1">0</definedName>
    <definedName name="solver_rhs15" localSheetId="5" hidden="1">1</definedName>
    <definedName name="solver_rhs15" localSheetId="7" hidden="1">1</definedName>
    <definedName name="solver_rhs16" localSheetId="5" hidden="1">0</definedName>
    <definedName name="solver_rhs16" localSheetId="7" hidden="1">0</definedName>
    <definedName name="solver_rhs17" localSheetId="5" hidden="1">1</definedName>
    <definedName name="solver_rhs17" localSheetId="7" hidden="1">1</definedName>
    <definedName name="solver_rhs18" localSheetId="5" hidden="1">0</definedName>
    <definedName name="solver_rhs18" localSheetId="7" hidden="1">0</definedName>
    <definedName name="solver_rhs19" localSheetId="5" hidden="1">1</definedName>
    <definedName name="solver_rhs19" localSheetId="7" hidden="1">1</definedName>
    <definedName name="solver_rhs2" localSheetId="5" hidden="1">1</definedName>
    <definedName name="solver_rhs2" localSheetId="7" hidden="1">0</definedName>
    <definedName name="solver_rhs20" localSheetId="5" hidden="1">0</definedName>
    <definedName name="solver_rhs20" localSheetId="7" hidden="1">0</definedName>
    <definedName name="solver_rhs21" localSheetId="5" hidden="1">1</definedName>
    <definedName name="solver_rhs21" localSheetId="7" hidden="1">1</definedName>
    <definedName name="solver_rhs22" localSheetId="5" hidden="1">0</definedName>
    <definedName name="solver_rhs22" localSheetId="7" hidden="1">0</definedName>
    <definedName name="solver_rhs23" localSheetId="5" hidden="1">1</definedName>
    <definedName name="solver_rhs23" localSheetId="7" hidden="1">1</definedName>
    <definedName name="solver_rhs24" localSheetId="5" hidden="1">0</definedName>
    <definedName name="solver_rhs24" localSheetId="7" hidden="1">0</definedName>
    <definedName name="solver_rhs25" localSheetId="5" hidden="1">1</definedName>
    <definedName name="solver_rhs25" localSheetId="7" hidden="1">1</definedName>
    <definedName name="solver_rhs26" localSheetId="5" hidden="1">0</definedName>
    <definedName name="solver_rhs26" localSheetId="7" hidden="1">0</definedName>
    <definedName name="solver_rhs27" localSheetId="5" hidden="1">1</definedName>
    <definedName name="solver_rhs27" localSheetId="7" hidden="1">1</definedName>
    <definedName name="solver_rhs28" localSheetId="5" hidden="1">0</definedName>
    <definedName name="solver_rhs28" localSheetId="7" hidden="1">0</definedName>
    <definedName name="solver_rhs29" localSheetId="5" hidden="1">1</definedName>
    <definedName name="solver_rhs29" localSheetId="7" hidden="1">1</definedName>
    <definedName name="solver_rhs3" localSheetId="5" hidden="1">1</definedName>
    <definedName name="solver_rhs3" localSheetId="7" hidden="1">1</definedName>
    <definedName name="solver_rhs30" localSheetId="5" hidden="1">0</definedName>
    <definedName name="solver_rhs30" localSheetId="7" hidden="1">0</definedName>
    <definedName name="solver_rhs31" localSheetId="5" hidden="1">1</definedName>
    <definedName name="solver_rhs31" localSheetId="7" hidden="1">1</definedName>
    <definedName name="solver_rhs32" localSheetId="5" hidden="1">0</definedName>
    <definedName name="solver_rhs32" localSheetId="7" hidden="1">0</definedName>
    <definedName name="solver_rhs33" localSheetId="5" hidden="1">1</definedName>
    <definedName name="solver_rhs33" localSheetId="7" hidden="1">1</definedName>
    <definedName name="solver_rhs34" localSheetId="5" hidden="1">0</definedName>
    <definedName name="solver_rhs34" localSheetId="7" hidden="1">0</definedName>
    <definedName name="solver_rhs35" localSheetId="5" hidden="1">1</definedName>
    <definedName name="solver_rhs35" localSheetId="7" hidden="1">1</definedName>
    <definedName name="solver_rhs36" localSheetId="5" hidden="1">0</definedName>
    <definedName name="solver_rhs36" localSheetId="7" hidden="1">0</definedName>
    <definedName name="solver_rhs37" localSheetId="5" hidden="1">1</definedName>
    <definedName name="solver_rhs37" localSheetId="7" hidden="1">1</definedName>
    <definedName name="solver_rhs38" localSheetId="5" hidden="1">0</definedName>
    <definedName name="solver_rhs38" localSheetId="7" hidden="1">0</definedName>
    <definedName name="solver_rhs39" localSheetId="5" hidden="1">1</definedName>
    <definedName name="solver_rhs39" localSheetId="7" hidden="1">1</definedName>
    <definedName name="solver_rhs4" localSheetId="5" hidden="1">0</definedName>
    <definedName name="solver_rhs4" localSheetId="7" hidden="1">0</definedName>
    <definedName name="solver_rhs40" localSheetId="5" hidden="1">0</definedName>
    <definedName name="solver_rhs40" localSheetId="7" hidden="1">0</definedName>
    <definedName name="solver_rhs41" localSheetId="5" hidden="1">1</definedName>
    <definedName name="solver_rhs41" localSheetId="7" hidden="1">1</definedName>
    <definedName name="solver_rhs42" localSheetId="5" hidden="1">0</definedName>
    <definedName name="solver_rhs42" localSheetId="7" hidden="1">0</definedName>
    <definedName name="solver_rhs43" localSheetId="7" hidden="1">1</definedName>
    <definedName name="solver_rhs44" localSheetId="7" hidden="1">0</definedName>
    <definedName name="solver_rhs45" localSheetId="7" hidden="1">1</definedName>
    <definedName name="solver_rhs46" localSheetId="7" hidden="1">0</definedName>
    <definedName name="solver_rhs47" localSheetId="7" hidden="1">1</definedName>
    <definedName name="solver_rhs48" localSheetId="7" hidden="1">0</definedName>
    <definedName name="solver_rhs49" localSheetId="7" hidden="1">1</definedName>
    <definedName name="solver_rhs5" localSheetId="5" hidden="1">1</definedName>
    <definedName name="solver_rhs5" localSheetId="7" hidden="1">1</definedName>
    <definedName name="solver_rhs50" localSheetId="7" hidden="1">0</definedName>
    <definedName name="solver_rhs51" localSheetId="7" hidden="1">1</definedName>
    <definedName name="solver_rhs52" localSheetId="7" hidden="1">0</definedName>
    <definedName name="solver_rhs53" localSheetId="7" hidden="1">1</definedName>
    <definedName name="solver_rhs54" localSheetId="7" hidden="1">0</definedName>
    <definedName name="solver_rhs55" localSheetId="7" hidden="1">1</definedName>
    <definedName name="solver_rhs56" localSheetId="7" hidden="1">0</definedName>
    <definedName name="solver_rhs57" localSheetId="7" hidden="1">1</definedName>
    <definedName name="solver_rhs58" localSheetId="7" hidden="1">0</definedName>
    <definedName name="solver_rhs59" localSheetId="7" hidden="1">1</definedName>
    <definedName name="solver_rhs6" localSheetId="5" hidden="1">0</definedName>
    <definedName name="solver_rhs6" localSheetId="7" hidden="1">0</definedName>
    <definedName name="solver_rhs60" localSheetId="7" hidden="1">0</definedName>
    <definedName name="solver_rhs61" localSheetId="7" hidden="1">1</definedName>
    <definedName name="solver_rhs62" localSheetId="7" hidden="1">0</definedName>
    <definedName name="solver_rhs63" localSheetId="7" hidden="1">1</definedName>
    <definedName name="solver_rhs64" localSheetId="7" hidden="1">0</definedName>
    <definedName name="solver_rhs65" localSheetId="7" hidden="1">1</definedName>
    <definedName name="solver_rhs66" localSheetId="7" hidden="1">0</definedName>
    <definedName name="solver_rhs67" localSheetId="7" hidden="1">1</definedName>
    <definedName name="solver_rhs68" localSheetId="7" hidden="1">0</definedName>
    <definedName name="solver_rhs69" localSheetId="7" hidden="1">1</definedName>
    <definedName name="solver_rhs7" localSheetId="5" hidden="1">1</definedName>
    <definedName name="solver_rhs7" localSheetId="7" hidden="1">1</definedName>
    <definedName name="solver_rhs70" localSheetId="7" hidden="1">0</definedName>
    <definedName name="solver_rhs71" localSheetId="7" hidden="1">1</definedName>
    <definedName name="solver_rhs72" localSheetId="7" hidden="1">0</definedName>
    <definedName name="solver_rhs73" localSheetId="7" hidden="1">1</definedName>
    <definedName name="solver_rhs74" localSheetId="7" hidden="1">0</definedName>
    <definedName name="solver_rhs75" localSheetId="7" hidden="1">1</definedName>
    <definedName name="solver_rhs76" localSheetId="7" hidden="1">0</definedName>
    <definedName name="solver_rhs77" localSheetId="7" hidden="1">1</definedName>
    <definedName name="solver_rhs78" localSheetId="7" hidden="1">0</definedName>
    <definedName name="solver_rhs79" localSheetId="7" hidden="1">1</definedName>
    <definedName name="solver_rhs8" localSheetId="5" hidden="1">0</definedName>
    <definedName name="solver_rhs8" localSheetId="7" hidden="1">0</definedName>
    <definedName name="solver_rhs80" localSheetId="7" hidden="1">0</definedName>
    <definedName name="solver_rhs81" localSheetId="7" hidden="1">1</definedName>
    <definedName name="solver_rhs82" localSheetId="7" hidden="1">0</definedName>
    <definedName name="solver_rhs83" localSheetId="7" hidden="1">1</definedName>
    <definedName name="solver_rhs84" localSheetId="7" hidden="1">0</definedName>
    <definedName name="solver_rhs85" localSheetId="7" hidden="1">1</definedName>
    <definedName name="solver_rhs86" localSheetId="7" hidden="1">0</definedName>
    <definedName name="solver_rhs9" localSheetId="5" hidden="1">1</definedName>
    <definedName name="solver_rhs9" localSheetId="7" hidden="1">1</definedName>
    <definedName name="solver_rlx" localSheetId="5" hidden="1">2</definedName>
    <definedName name="solver_rlx" localSheetId="7" hidden="1">2</definedName>
    <definedName name="solver_rsd" localSheetId="5" hidden="1">0</definedName>
    <definedName name="solver_rsd" localSheetId="7" hidden="1">0</definedName>
    <definedName name="solver_scl" localSheetId="5" hidden="1">1</definedName>
    <definedName name="solver_scl" localSheetId="7" hidden="1">1</definedName>
    <definedName name="solver_sho" localSheetId="5" hidden="1">2</definedName>
    <definedName name="solver_sho" localSheetId="7" hidden="1">2</definedName>
    <definedName name="solver_ssz" localSheetId="5" hidden="1">100</definedName>
    <definedName name="solver_ssz" localSheetId="7" hidden="1">100</definedName>
    <definedName name="solver_tim" localSheetId="5" hidden="1">2147483647</definedName>
    <definedName name="solver_tim" localSheetId="7" hidden="1">2147483647</definedName>
    <definedName name="solver_tol" localSheetId="5" hidden="1">0.01</definedName>
    <definedName name="solver_tol" localSheetId="7" hidden="1">0.01</definedName>
    <definedName name="solver_typ" localSheetId="5" hidden="1">1</definedName>
    <definedName name="solver_typ" localSheetId="7" hidden="1">1</definedName>
    <definedName name="solver_val" localSheetId="5" hidden="1">0</definedName>
    <definedName name="solver_val" localSheetId="7" hidden="1">0</definedName>
    <definedName name="solver_ver" localSheetId="5" hidden="1">3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D2" i="2"/>
  <c r="E2" i="2"/>
  <c r="F2" i="2"/>
  <c r="G2" i="2"/>
  <c r="H2" i="2"/>
  <c r="I2" i="2"/>
  <c r="J2" i="2"/>
  <c r="K2" i="2"/>
  <c r="B2" i="2"/>
  <c r="B28" i="39" a="1"/>
  <c r="B28" i="39" s="1"/>
  <c r="B27" i="39" a="1"/>
  <c r="B27" i="39" s="1"/>
  <c r="B26" i="39"/>
  <c r="L12" i="39"/>
  <c r="L11" i="39"/>
  <c r="K11" i="39"/>
  <c r="J10" i="39"/>
  <c r="I9" i="39"/>
  <c r="H8" i="39"/>
  <c r="G7" i="39"/>
  <c r="F6" i="39"/>
  <c r="E5" i="39"/>
  <c r="D4" i="39"/>
  <c r="C3" i="39"/>
  <c r="M3" i="38" a="1"/>
  <c r="M3" i="38" s="1"/>
  <c r="M4" i="38" a="1"/>
  <c r="M4" i="38"/>
  <c r="M5" i="38" a="1"/>
  <c r="M5" i="38"/>
  <c r="M6" i="38" a="1"/>
  <c r="M6" i="38"/>
  <c r="M7" i="38" a="1"/>
  <c r="M7" i="38" s="1"/>
  <c r="M8" i="38" a="1"/>
  <c r="M8" i="38"/>
  <c r="M9" i="38" a="1"/>
  <c r="M9" i="38"/>
  <c r="M10" i="38" a="1"/>
  <c r="M10" i="38"/>
  <c r="M11" i="38" a="1"/>
  <c r="M11" i="38" s="1"/>
  <c r="M12" i="38" a="1"/>
  <c r="M12" i="38" s="1"/>
  <c r="M13" i="38" a="1"/>
  <c r="M13" i="38"/>
  <c r="M14" i="38" a="1"/>
  <c r="M14" i="38"/>
  <c r="M15" i="38" a="1"/>
  <c r="M15" i="38" s="1"/>
  <c r="M16" i="38" a="1"/>
  <c r="M16" i="38"/>
  <c r="M17" i="38" a="1"/>
  <c r="M17" i="38"/>
  <c r="M18" i="38" a="1"/>
  <c r="M18" i="38"/>
  <c r="M19" i="38" a="1"/>
  <c r="M19" i="38" s="1"/>
  <c r="M20" i="38" a="1"/>
  <c r="M20" i="38"/>
  <c r="M21" i="38" a="1"/>
  <c r="M21" i="38"/>
  <c r="M22" i="38" a="1"/>
  <c r="M22" i="38"/>
  <c r="M23" i="38" a="1"/>
  <c r="M23" i="38" s="1"/>
  <c r="M24" i="38" a="1"/>
  <c r="M24" i="38"/>
  <c r="M25" i="38" a="1"/>
  <c r="M25" i="38"/>
  <c r="M26" i="38" a="1"/>
  <c r="M26" i="38" s="1"/>
  <c r="M27" i="38" a="1"/>
  <c r="M27" i="38" s="1"/>
  <c r="M28" i="38" a="1"/>
  <c r="M28" i="38"/>
  <c r="M29" i="38" a="1"/>
  <c r="M29" i="38" s="1"/>
  <c r="M30" i="38" a="1"/>
  <c r="M30" i="38" s="1"/>
  <c r="M31" i="38" a="1"/>
  <c r="M31" i="38" s="1"/>
  <c r="M2" i="38" a="1"/>
  <c r="M2" i="38" s="1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A60" i="28"/>
  <c r="A61" i="28"/>
  <c r="A62" i="28"/>
  <c r="A63" i="28"/>
  <c r="A64" i="28"/>
  <c r="A65" i="28"/>
  <c r="A66" i="28"/>
  <c r="A67" i="28"/>
  <c r="A68" i="28"/>
  <c r="A59" i="28"/>
  <c r="B64" i="2"/>
  <c r="B63" i="2"/>
  <c r="B62" i="2"/>
  <c r="B61" i="2"/>
  <c r="B60" i="2"/>
  <c r="B7" i="32" a="1"/>
  <c r="B7" i="32" s="1"/>
  <c r="K10" i="31"/>
  <c r="B6" i="32"/>
  <c r="C3" i="32"/>
  <c r="D3" i="32"/>
  <c r="E3" i="32"/>
  <c r="F3" i="32"/>
  <c r="G3" i="32"/>
  <c r="H3" i="32"/>
  <c r="I3" i="32"/>
  <c r="J3" i="32"/>
  <c r="K3" i="32"/>
  <c r="B3" i="32"/>
  <c r="B29" i="39" l="1"/>
  <c r="C20" i="2"/>
  <c r="C37" i="2" s="1"/>
  <c r="C53" i="2" s="1"/>
  <c r="D20" i="2"/>
  <c r="D37" i="2" s="1"/>
  <c r="D53" i="2" s="1"/>
  <c r="E20" i="2"/>
  <c r="E37" i="2" s="1"/>
  <c r="E53" i="2" s="1"/>
  <c r="F20" i="2"/>
  <c r="F37" i="2" s="1"/>
  <c r="F53" i="2" s="1"/>
  <c r="G20" i="2"/>
  <c r="G37" i="2" s="1"/>
  <c r="G53" i="2" s="1"/>
  <c r="H20" i="2"/>
  <c r="H37" i="2" s="1"/>
  <c r="H53" i="2" s="1"/>
  <c r="I20" i="2"/>
  <c r="I37" i="2" s="1"/>
  <c r="I53" i="2" s="1"/>
  <c r="J20" i="2"/>
  <c r="J37" i="2" s="1"/>
  <c r="J53" i="2" s="1"/>
  <c r="K20" i="2"/>
  <c r="K37" i="2" s="1"/>
  <c r="K53" i="2" s="1"/>
  <c r="B20" i="2"/>
  <c r="B37" i="2" s="1"/>
  <c r="B53" i="2" s="1"/>
  <c r="B17" i="2"/>
  <c r="B16" i="2"/>
  <c r="B15" i="2"/>
  <c r="B14" i="2"/>
  <c r="B13" i="2"/>
  <c r="C39" i="28"/>
  <c r="N38" i="28"/>
  <c r="O38" i="28"/>
  <c r="C38" i="28"/>
  <c r="C2" i="28"/>
  <c r="C13" i="28" s="1"/>
  <c r="D2" i="28"/>
  <c r="D13" i="28" s="1"/>
  <c r="E2" i="28"/>
  <c r="E13" i="28" s="1"/>
  <c r="F2" i="28"/>
  <c r="F13" i="28" s="1"/>
  <c r="G2" i="28"/>
  <c r="G13" i="28" s="1"/>
  <c r="H2" i="28"/>
  <c r="J37" i="28" s="1"/>
  <c r="A51" i="28" s="1"/>
  <c r="I2" i="28"/>
  <c r="K37" i="28" s="1"/>
  <c r="A52" i="28" s="1"/>
  <c r="J2" i="28"/>
  <c r="L37" i="28" s="1"/>
  <c r="A53" i="28" s="1"/>
  <c r="K2" i="28"/>
  <c r="K13" i="28" s="1"/>
  <c r="B2" i="28"/>
  <c r="B13" i="28" s="1"/>
  <c r="L33" i="28"/>
  <c r="K33" i="28"/>
  <c r="J33" i="28"/>
  <c r="I33" i="28"/>
  <c r="H33" i="28"/>
  <c r="G33" i="28"/>
  <c r="F33" i="28"/>
  <c r="E33" i="28"/>
  <c r="D33" i="28"/>
  <c r="C33" i="28"/>
  <c r="B33" i="28"/>
  <c r="L32" i="28"/>
  <c r="K32" i="28"/>
  <c r="J32" i="28"/>
  <c r="I32" i="28"/>
  <c r="H32" i="28"/>
  <c r="G32" i="28"/>
  <c r="F32" i="28"/>
  <c r="E32" i="28"/>
  <c r="D32" i="28"/>
  <c r="C32" i="28"/>
  <c r="B32" i="28"/>
  <c r="L31" i="28"/>
  <c r="K31" i="28"/>
  <c r="J31" i="28"/>
  <c r="I31" i="28"/>
  <c r="H31" i="28"/>
  <c r="G31" i="28"/>
  <c r="F31" i="28"/>
  <c r="E31" i="28"/>
  <c r="D31" i="28"/>
  <c r="C31" i="28"/>
  <c r="B31" i="28"/>
  <c r="L30" i="28"/>
  <c r="K30" i="28"/>
  <c r="J30" i="28"/>
  <c r="I30" i="28"/>
  <c r="H30" i="28"/>
  <c r="G30" i="28"/>
  <c r="F30" i="28"/>
  <c r="E30" i="28"/>
  <c r="D30" i="28"/>
  <c r="C30" i="28"/>
  <c r="B30" i="28"/>
  <c r="L29" i="28"/>
  <c r="K29" i="28"/>
  <c r="J29" i="28"/>
  <c r="I29" i="28"/>
  <c r="H29" i="28"/>
  <c r="G29" i="28"/>
  <c r="F29" i="28"/>
  <c r="E29" i="28"/>
  <c r="D29" i="28"/>
  <c r="C29" i="28"/>
  <c r="B29" i="28"/>
  <c r="L28" i="28"/>
  <c r="K28" i="28"/>
  <c r="J28" i="28"/>
  <c r="I28" i="28"/>
  <c r="H28" i="28"/>
  <c r="G28" i="28"/>
  <c r="F28" i="28"/>
  <c r="E28" i="28"/>
  <c r="D28" i="28"/>
  <c r="C28" i="28"/>
  <c r="B28" i="28"/>
  <c r="L27" i="28"/>
  <c r="K27" i="28"/>
  <c r="J27" i="28"/>
  <c r="I27" i="28"/>
  <c r="H27" i="28"/>
  <c r="G27" i="28"/>
  <c r="F27" i="28"/>
  <c r="E27" i="28"/>
  <c r="D27" i="28"/>
  <c r="C27" i="28"/>
  <c r="B27" i="28"/>
  <c r="L26" i="28"/>
  <c r="K26" i="28"/>
  <c r="J26" i="28"/>
  <c r="I26" i="28"/>
  <c r="H26" i="28"/>
  <c r="G26" i="28"/>
  <c r="F26" i="28"/>
  <c r="E26" i="28"/>
  <c r="D26" i="28"/>
  <c r="C26" i="28"/>
  <c r="B26" i="28"/>
  <c r="L25" i="28"/>
  <c r="K25" i="28"/>
  <c r="J25" i="28"/>
  <c r="I25" i="28"/>
  <c r="H25" i="28"/>
  <c r="G25" i="28"/>
  <c r="F25" i="28"/>
  <c r="E25" i="28"/>
  <c r="D25" i="28"/>
  <c r="C25" i="28"/>
  <c r="B25" i="28"/>
  <c r="L24" i="28"/>
  <c r="K24" i="28"/>
  <c r="J24" i="28"/>
  <c r="I24" i="28"/>
  <c r="H24" i="28"/>
  <c r="G24" i="28"/>
  <c r="F24" i="28"/>
  <c r="E24" i="28"/>
  <c r="D24" i="28"/>
  <c r="C24" i="28"/>
  <c r="B24" i="28"/>
  <c r="L23" i="28"/>
  <c r="K23" i="28"/>
  <c r="J23" i="28"/>
  <c r="I23" i="28"/>
  <c r="H23" i="28"/>
  <c r="G23" i="28"/>
  <c r="F23" i="28"/>
  <c r="E23" i="28"/>
  <c r="D23" i="28"/>
  <c r="C23" i="28"/>
  <c r="B23" i="28"/>
  <c r="L22" i="28"/>
  <c r="K22" i="28"/>
  <c r="J22" i="28"/>
  <c r="I22" i="28"/>
  <c r="H22" i="28"/>
  <c r="G22" i="28"/>
  <c r="F22" i="28"/>
  <c r="E22" i="28"/>
  <c r="D22" i="28"/>
  <c r="C22" i="28"/>
  <c r="B22" i="28"/>
  <c r="L22" i="2"/>
  <c r="L23" i="2"/>
  <c r="L24" i="2"/>
  <c r="L25" i="2"/>
  <c r="L26" i="2"/>
  <c r="L27" i="2"/>
  <c r="L28" i="2"/>
  <c r="L29" i="2"/>
  <c r="L30" i="2"/>
  <c r="L31" i="2"/>
  <c r="L32" i="2"/>
  <c r="L21" i="2"/>
  <c r="K22" i="2"/>
  <c r="K39" i="2" s="1"/>
  <c r="K23" i="2"/>
  <c r="K40" i="2" s="1"/>
  <c r="K24" i="2"/>
  <c r="K41" i="2" s="1"/>
  <c r="K25" i="2"/>
  <c r="K42" i="2" s="1"/>
  <c r="K26" i="2"/>
  <c r="K43" i="2" s="1"/>
  <c r="K27" i="2"/>
  <c r="K44" i="2" s="1"/>
  <c r="K28" i="2"/>
  <c r="K45" i="2" s="1"/>
  <c r="K29" i="2"/>
  <c r="K46" i="2" s="1"/>
  <c r="K30" i="2"/>
  <c r="K47" i="2" s="1"/>
  <c r="K31" i="2"/>
  <c r="K48" i="2" s="1"/>
  <c r="K32" i="2"/>
  <c r="K49" i="2" s="1"/>
  <c r="J22" i="2"/>
  <c r="J39" i="2" s="1"/>
  <c r="J23" i="2"/>
  <c r="J40" i="2" s="1"/>
  <c r="J24" i="2"/>
  <c r="J41" i="2" s="1"/>
  <c r="J25" i="2"/>
  <c r="J42" i="2" s="1"/>
  <c r="J26" i="2"/>
  <c r="J43" i="2" s="1"/>
  <c r="J27" i="2"/>
  <c r="J44" i="2" s="1"/>
  <c r="J28" i="2"/>
  <c r="J45" i="2" s="1"/>
  <c r="J29" i="2"/>
  <c r="J46" i="2" s="1"/>
  <c r="J30" i="2"/>
  <c r="J47" i="2" s="1"/>
  <c r="J31" i="2"/>
  <c r="J48" i="2" s="1"/>
  <c r="J32" i="2"/>
  <c r="J49" i="2" s="1"/>
  <c r="I22" i="2"/>
  <c r="I39" i="2" s="1"/>
  <c r="I23" i="2"/>
  <c r="I40" i="2" s="1"/>
  <c r="I24" i="2"/>
  <c r="I41" i="2" s="1"/>
  <c r="I25" i="2"/>
  <c r="I42" i="2" s="1"/>
  <c r="I26" i="2"/>
  <c r="I43" i="2" s="1"/>
  <c r="I27" i="2"/>
  <c r="I44" i="2" s="1"/>
  <c r="I28" i="2"/>
  <c r="I45" i="2" s="1"/>
  <c r="I29" i="2"/>
  <c r="I46" i="2" s="1"/>
  <c r="I30" i="2"/>
  <c r="I47" i="2" s="1"/>
  <c r="I31" i="2"/>
  <c r="I48" i="2" s="1"/>
  <c r="I32" i="2"/>
  <c r="I49" i="2" s="1"/>
  <c r="H22" i="2"/>
  <c r="H39" i="2" s="1"/>
  <c r="H23" i="2"/>
  <c r="H40" i="2" s="1"/>
  <c r="H24" i="2"/>
  <c r="H41" i="2" s="1"/>
  <c r="H25" i="2"/>
  <c r="H42" i="2" s="1"/>
  <c r="H26" i="2"/>
  <c r="H43" i="2" s="1"/>
  <c r="H27" i="2"/>
  <c r="H44" i="2" s="1"/>
  <c r="H28" i="2"/>
  <c r="H45" i="2" s="1"/>
  <c r="H29" i="2"/>
  <c r="H46" i="2" s="1"/>
  <c r="H30" i="2"/>
  <c r="H47" i="2" s="1"/>
  <c r="H31" i="2"/>
  <c r="H48" i="2" s="1"/>
  <c r="H32" i="2"/>
  <c r="H49" i="2" s="1"/>
  <c r="G22" i="2"/>
  <c r="G39" i="2" s="1"/>
  <c r="G23" i="2"/>
  <c r="G40" i="2" s="1"/>
  <c r="G24" i="2"/>
  <c r="G41" i="2" s="1"/>
  <c r="G25" i="2"/>
  <c r="G42" i="2" s="1"/>
  <c r="G26" i="2"/>
  <c r="G43" i="2" s="1"/>
  <c r="G27" i="2"/>
  <c r="G44" i="2" s="1"/>
  <c r="G28" i="2"/>
  <c r="G45" i="2" s="1"/>
  <c r="G29" i="2"/>
  <c r="G46" i="2" s="1"/>
  <c r="G30" i="2"/>
  <c r="G47" i="2" s="1"/>
  <c r="G31" i="2"/>
  <c r="G48" i="2" s="1"/>
  <c r="G32" i="2"/>
  <c r="G49" i="2" s="1"/>
  <c r="F22" i="2"/>
  <c r="F39" i="2" s="1"/>
  <c r="F23" i="2"/>
  <c r="F40" i="2" s="1"/>
  <c r="F24" i="2"/>
  <c r="F41" i="2" s="1"/>
  <c r="F25" i="2"/>
  <c r="F42" i="2" s="1"/>
  <c r="F26" i="2"/>
  <c r="F43" i="2" s="1"/>
  <c r="F27" i="2"/>
  <c r="F44" i="2" s="1"/>
  <c r="F28" i="2"/>
  <c r="F45" i="2" s="1"/>
  <c r="F29" i="2"/>
  <c r="F46" i="2" s="1"/>
  <c r="F30" i="2"/>
  <c r="F47" i="2" s="1"/>
  <c r="F31" i="2"/>
  <c r="F48" i="2" s="1"/>
  <c r="F32" i="2"/>
  <c r="F49" i="2" s="1"/>
  <c r="E22" i="2"/>
  <c r="E39" i="2" s="1"/>
  <c r="E23" i="2"/>
  <c r="E40" i="2" s="1"/>
  <c r="E24" i="2"/>
  <c r="E41" i="2" s="1"/>
  <c r="E25" i="2"/>
  <c r="E42" i="2" s="1"/>
  <c r="E26" i="2"/>
  <c r="E43" i="2" s="1"/>
  <c r="E27" i="2"/>
  <c r="E44" i="2" s="1"/>
  <c r="E28" i="2"/>
  <c r="E45" i="2" s="1"/>
  <c r="E29" i="2"/>
  <c r="E46" i="2" s="1"/>
  <c r="E30" i="2"/>
  <c r="E47" i="2" s="1"/>
  <c r="E31" i="2"/>
  <c r="E48" i="2" s="1"/>
  <c r="E32" i="2"/>
  <c r="E49" i="2" s="1"/>
  <c r="D22" i="2"/>
  <c r="D39" i="2" s="1"/>
  <c r="D23" i="2"/>
  <c r="D40" i="2" s="1"/>
  <c r="D24" i="2"/>
  <c r="D41" i="2" s="1"/>
  <c r="D25" i="2"/>
  <c r="D42" i="2" s="1"/>
  <c r="D26" i="2"/>
  <c r="D43" i="2" s="1"/>
  <c r="D27" i="2"/>
  <c r="D44" i="2" s="1"/>
  <c r="D28" i="2"/>
  <c r="D45" i="2" s="1"/>
  <c r="D29" i="2"/>
  <c r="D46" i="2" s="1"/>
  <c r="D30" i="2"/>
  <c r="D47" i="2" s="1"/>
  <c r="D31" i="2"/>
  <c r="D48" i="2" s="1"/>
  <c r="D32" i="2"/>
  <c r="D49" i="2" s="1"/>
  <c r="D21" i="2"/>
  <c r="E21" i="2"/>
  <c r="F21" i="2"/>
  <c r="G21" i="2"/>
  <c r="H21" i="2"/>
  <c r="I21" i="2"/>
  <c r="J21" i="2"/>
  <c r="K21" i="2"/>
  <c r="C22" i="2"/>
  <c r="C39" i="2" s="1"/>
  <c r="C23" i="2"/>
  <c r="C40" i="2" s="1"/>
  <c r="C24" i="2"/>
  <c r="C41" i="2" s="1"/>
  <c r="C25" i="2"/>
  <c r="C42" i="2" s="1"/>
  <c r="C26" i="2"/>
  <c r="C43" i="2" s="1"/>
  <c r="C27" i="2"/>
  <c r="C44" i="2" s="1"/>
  <c r="C28" i="2"/>
  <c r="C45" i="2" s="1"/>
  <c r="C29" i="2"/>
  <c r="C46" i="2" s="1"/>
  <c r="C30" i="2"/>
  <c r="C47" i="2" s="1"/>
  <c r="C31" i="2"/>
  <c r="C48" i="2" s="1"/>
  <c r="C32" i="2"/>
  <c r="C49" i="2" s="1"/>
  <c r="C21" i="2"/>
  <c r="B22" i="2"/>
  <c r="B39" i="2" s="1"/>
  <c r="B23" i="2"/>
  <c r="B40" i="2" s="1"/>
  <c r="B24" i="2"/>
  <c r="B41" i="2" s="1"/>
  <c r="B25" i="2"/>
  <c r="B42" i="2" s="1"/>
  <c r="B26" i="2"/>
  <c r="B43" i="2" s="1"/>
  <c r="B27" i="2"/>
  <c r="B44" i="2" s="1"/>
  <c r="B28" i="2"/>
  <c r="B45" i="2" s="1"/>
  <c r="B29" i="2"/>
  <c r="B46" i="2" s="1"/>
  <c r="B30" i="2"/>
  <c r="B47" i="2" s="1"/>
  <c r="B31" i="2"/>
  <c r="B48" i="2" s="1"/>
  <c r="B32" i="2"/>
  <c r="B49" i="2" s="1"/>
  <c r="B21" i="2"/>
  <c r="F6" i="27" a="1"/>
  <c r="F6" i="27" s="1"/>
  <c r="G6" i="27" a="1"/>
  <c r="G6" i="27" s="1"/>
  <c r="K6" i="27" a="1"/>
  <c r="K6" i="27" s="1"/>
  <c r="L6" i="27" a="1"/>
  <c r="L6" i="27" s="1"/>
  <c r="C14" i="28" l="1"/>
  <c r="K14" i="28"/>
  <c r="C48" i="28"/>
  <c r="C54" i="28"/>
  <c r="D16" i="28"/>
  <c r="B46" i="28"/>
  <c r="F15" i="28"/>
  <c r="H38" i="28" s="1"/>
  <c r="C49" i="28"/>
  <c r="I37" i="28"/>
  <c r="A50" i="28" s="1"/>
  <c r="G15" i="28"/>
  <c r="I38" i="28" s="1"/>
  <c r="H37" i="28"/>
  <c r="A49" i="28" s="1"/>
  <c r="H16" i="28"/>
  <c r="B47" i="28"/>
  <c r="J13" i="28"/>
  <c r="E14" i="28"/>
  <c r="I16" i="28"/>
  <c r="I13" i="28"/>
  <c r="C5" i="2"/>
  <c r="G4" i="2"/>
  <c r="G8" i="2" s="1"/>
  <c r="B14" i="28"/>
  <c r="J16" i="28"/>
  <c r="G16" i="28"/>
  <c r="D15" i="28"/>
  <c r="F38" i="28" s="1"/>
  <c r="F16" i="28"/>
  <c r="B49" i="28"/>
  <c r="C47" i="28"/>
  <c r="B48" i="28"/>
  <c r="E5" i="2"/>
  <c r="E9" i="2" s="1"/>
  <c r="H13" i="28"/>
  <c r="J14" i="28"/>
  <c r="K15" i="28"/>
  <c r="M38" i="28" s="1"/>
  <c r="C15" i="28"/>
  <c r="E38" i="28" s="1"/>
  <c r="E16" i="28"/>
  <c r="G37" i="28"/>
  <c r="A48" i="28" s="1"/>
  <c r="C53" i="28"/>
  <c r="B45" i="28"/>
  <c r="D14" i="28"/>
  <c r="B15" i="28"/>
  <c r="D5" i="2"/>
  <c r="I14" i="28"/>
  <c r="J15" i="28"/>
  <c r="L38" i="28" s="1"/>
  <c r="B16" i="28"/>
  <c r="D37" i="28"/>
  <c r="A45" i="28" s="1"/>
  <c r="F37" i="28"/>
  <c r="A47" i="28" s="1"/>
  <c r="C52" i="28"/>
  <c r="E15" i="28"/>
  <c r="G38" i="28" s="1"/>
  <c r="C46" i="28"/>
  <c r="B5" i="2"/>
  <c r="B9" i="2" s="1"/>
  <c r="K4" i="2"/>
  <c r="K8" i="2" s="1"/>
  <c r="L4" i="2"/>
  <c r="L8" i="2" s="1"/>
  <c r="H14" i="28"/>
  <c r="I15" i="28"/>
  <c r="K38" i="28" s="1"/>
  <c r="K16" i="28"/>
  <c r="C16" i="28"/>
  <c r="M37" i="28"/>
  <c r="A54" i="28" s="1"/>
  <c r="E37" i="28"/>
  <c r="A46" i="28" s="1"/>
  <c r="C51" i="28"/>
  <c r="C45" i="28"/>
  <c r="J4" i="2"/>
  <c r="J8" i="2" s="1"/>
  <c r="G14" i="28"/>
  <c r="H15" i="28"/>
  <c r="J38" i="28" s="1"/>
  <c r="C50" i="28"/>
  <c r="F4" i="2"/>
  <c r="F8" i="2" s="1"/>
  <c r="I4" i="2"/>
  <c r="I8" i="2" s="1"/>
  <c r="F14" i="28"/>
  <c r="H4" i="2"/>
  <c r="H8" i="2" s="1"/>
  <c r="E6" i="2"/>
  <c r="E10" i="2" s="1"/>
  <c r="D6" i="2"/>
  <c r="D10" i="2" s="1"/>
  <c r="D9" i="2"/>
  <c r="C6" i="2"/>
  <c r="C10" i="2" s="1"/>
  <c r="C9" i="2"/>
  <c r="B6" i="2"/>
  <c r="B10" i="2" s="1"/>
  <c r="C4" i="2"/>
  <c r="C8" i="2" s="1"/>
  <c r="F5" i="2"/>
  <c r="L44" i="2"/>
  <c r="E5" i="31"/>
  <c r="E38" i="2"/>
  <c r="L5" i="2"/>
  <c r="K38" i="2"/>
  <c r="K11" i="31"/>
  <c r="L41" i="2"/>
  <c r="J38" i="2"/>
  <c r="J10" i="31"/>
  <c r="K5" i="2"/>
  <c r="D4" i="31"/>
  <c r="D38" i="2"/>
  <c r="L49" i="2"/>
  <c r="L48" i="2"/>
  <c r="L40" i="2"/>
  <c r="I9" i="31"/>
  <c r="I38" i="2"/>
  <c r="J5" i="2"/>
  <c r="L43" i="2"/>
  <c r="B2" i="31"/>
  <c r="B38" i="2"/>
  <c r="L47" i="2"/>
  <c r="L39" i="2"/>
  <c r="H38" i="2"/>
  <c r="H8" i="31"/>
  <c r="I5" i="2"/>
  <c r="L46" i="2"/>
  <c r="C38" i="2"/>
  <c r="C3" i="31"/>
  <c r="G38" i="2"/>
  <c r="G7" i="31"/>
  <c r="B4" i="2"/>
  <c r="B8" i="2" s="1"/>
  <c r="E4" i="2"/>
  <c r="E8" i="2" s="1"/>
  <c r="H5" i="2"/>
  <c r="L42" i="2"/>
  <c r="L45" i="2"/>
  <c r="F6" i="31"/>
  <c r="F38" i="2"/>
  <c r="D4" i="2"/>
  <c r="D8" i="2" s="1"/>
  <c r="G5" i="2"/>
  <c r="D38" i="28"/>
  <c r="C5" i="28"/>
  <c r="C6" i="28" s="1"/>
  <c r="C10" i="28" s="1"/>
  <c r="K5" i="28"/>
  <c r="K9" i="28" s="1"/>
  <c r="E4" i="28"/>
  <c r="B5" i="28"/>
  <c r="B9" i="28" s="1"/>
  <c r="J5" i="28"/>
  <c r="J9" i="28" s="1"/>
  <c r="I5" i="28"/>
  <c r="I6" i="28" s="1"/>
  <c r="I10" i="28" s="1"/>
  <c r="G4" i="28"/>
  <c r="F4" i="28"/>
  <c r="H5" i="28"/>
  <c r="H9" i="28" s="1"/>
  <c r="L5" i="28"/>
  <c r="L6" i="28" s="1"/>
  <c r="L10" i="28" s="1"/>
  <c r="D5" i="28"/>
  <c r="D6" i="28" s="1"/>
  <c r="D10" i="28" s="1"/>
  <c r="E5" i="28"/>
  <c r="E6" i="28" s="1"/>
  <c r="E10" i="28" s="1"/>
  <c r="H4" i="28"/>
  <c r="D9" i="28"/>
  <c r="I4" i="28"/>
  <c r="F5" i="28"/>
  <c r="B4" i="28"/>
  <c r="J4" i="28"/>
  <c r="G5" i="28"/>
  <c r="C4" i="28"/>
  <c r="K4" i="28"/>
  <c r="D4" i="28"/>
  <c r="L4" i="28"/>
  <c r="L8" i="28" s="1"/>
  <c r="H6" i="28" l="1"/>
  <c r="H10" i="28" s="1"/>
  <c r="H8" i="28"/>
  <c r="J39" i="28"/>
  <c r="K54" i="2"/>
  <c r="K8" i="28"/>
  <c r="M39" i="28"/>
  <c r="D54" i="2"/>
  <c r="I8" i="28"/>
  <c r="K39" i="28"/>
  <c r="D8" i="28"/>
  <c r="F39" i="28"/>
  <c r="E54" i="2"/>
  <c r="B50" i="28"/>
  <c r="G54" i="2"/>
  <c r="E8" i="28"/>
  <c r="G39" i="28"/>
  <c r="C8" i="28"/>
  <c r="E39" i="28"/>
  <c r="E9" i="28"/>
  <c r="J8" i="28"/>
  <c r="L39" i="28"/>
  <c r="B53" i="28" s="1"/>
  <c r="B6" i="28"/>
  <c r="B10" i="28" s="1"/>
  <c r="F54" i="2"/>
  <c r="C54" i="2"/>
  <c r="F8" i="28"/>
  <c r="H39" i="28"/>
  <c r="I54" i="2"/>
  <c r="B8" i="28"/>
  <c r="D39" i="28"/>
  <c r="G8" i="28"/>
  <c r="I39" i="28"/>
  <c r="H54" i="2"/>
  <c r="J54" i="2"/>
  <c r="L6" i="2"/>
  <c r="L10" i="2" s="1"/>
  <c r="L9" i="2"/>
  <c r="L38" i="2"/>
  <c r="B54" i="2"/>
  <c r="H6" i="2"/>
  <c r="H10" i="2" s="1"/>
  <c r="H9" i="2"/>
  <c r="I9" i="2"/>
  <c r="I6" i="2"/>
  <c r="I10" i="2" s="1"/>
  <c r="G6" i="2"/>
  <c r="G10" i="2" s="1"/>
  <c r="G9" i="2"/>
  <c r="F6" i="2"/>
  <c r="F10" i="2" s="1"/>
  <c r="F9" i="2"/>
  <c r="K6" i="2"/>
  <c r="K10" i="2" s="1"/>
  <c r="K9" i="2"/>
  <c r="J6" i="2"/>
  <c r="J10" i="2" s="1"/>
  <c r="J9" i="2"/>
  <c r="I9" i="28"/>
  <c r="J6" i="28"/>
  <c r="J10" i="28" s="1"/>
  <c r="L9" i="28"/>
  <c r="C9" i="28"/>
  <c r="K6" i="28"/>
  <c r="K10" i="28" s="1"/>
  <c r="G6" i="28"/>
  <c r="G10" i="28" s="1"/>
  <c r="G9" i="28"/>
  <c r="F6" i="28"/>
  <c r="F10" i="28" s="1"/>
  <c r="F9" i="28"/>
  <c r="E55" i="2" l="1"/>
  <c r="F55" i="2"/>
  <c r="J55" i="2"/>
  <c r="I55" i="2"/>
  <c r="B54" i="28"/>
  <c r="K55" i="2"/>
  <c r="B55" i="2"/>
  <c r="H55" i="2"/>
  <c r="G55" i="2"/>
  <c r="D55" i="2"/>
  <c r="C55" i="2"/>
  <c r="B52" i="28"/>
  <c r="B51" i="28"/>
  <c r="B8" i="32" l="1" a="1"/>
  <c r="B8" i="32" s="1"/>
  <c r="B9" i="32" s="1"/>
  <c r="B10" i="3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<sst xmlns="http://schemas.openxmlformats.org/spreadsheetml/2006/main" count="3327" uniqueCount="1265">
  <si>
    <t>Date</t>
  </si>
  <si>
    <t>AAPL</t>
  </si>
  <si>
    <t>STX</t>
  </si>
  <si>
    <t>CMCSA</t>
  </si>
  <si>
    <t>MRK</t>
  </si>
  <si>
    <t>JNJ</t>
  </si>
  <si>
    <t>HPQ</t>
  </si>
  <si>
    <t>S&amp;P 500</t>
  </si>
  <si>
    <t>Comcast</t>
  </si>
  <si>
    <t>General Electric</t>
  </si>
  <si>
    <t>Goldman Sachs</t>
  </si>
  <si>
    <t>Mean</t>
  </si>
  <si>
    <t>Variance</t>
  </si>
  <si>
    <t>Sigma</t>
  </si>
  <si>
    <t>Regressing individual assets on the S&amp;P 500</t>
  </si>
  <si>
    <t>Alpha</t>
  </si>
  <si>
    <t>Beta</t>
  </si>
  <si>
    <t>Rsq</t>
  </si>
  <si>
    <t>T-test, intercept</t>
  </si>
  <si>
    <t>T-test, slope</t>
  </si>
  <si>
    <t>Monthly statistics</t>
  </si>
  <si>
    <t>Annual Statistics</t>
  </si>
  <si>
    <t>RETURN DATA</t>
  </si>
  <si>
    <t>Amazon</t>
  </si>
  <si>
    <t>AMZN</t>
  </si>
  <si>
    <t>META</t>
  </si>
  <si>
    <t>PEP</t>
  </si>
  <si>
    <t>Pfizer</t>
  </si>
  <si>
    <t>PFE</t>
  </si>
  <si>
    <t>ExxonMobil</t>
  </si>
  <si>
    <t>XOM</t>
  </si>
  <si>
    <t>Starbucks</t>
  </si>
  <si>
    <t>SBUX</t>
  </si>
  <si>
    <t>Boeing</t>
  </si>
  <si>
    <t>BA</t>
  </si>
  <si>
    <t>Company</t>
  </si>
  <si>
    <t>Sector</t>
  </si>
  <si>
    <t>MMM</t>
  </si>
  <si>
    <t>3M</t>
  </si>
  <si>
    <t>Industrials</t>
  </si>
  <si>
    <t>Sub-Industry</t>
  </si>
  <si>
    <t>Industrial Conglomerates</t>
  </si>
  <si>
    <t>AOS</t>
  </si>
  <si>
    <t>A.O.Smith</t>
  </si>
  <si>
    <t>Building Products</t>
  </si>
  <si>
    <t>ABT</t>
  </si>
  <si>
    <t>Abbott</t>
  </si>
  <si>
    <t>Health Care</t>
  </si>
  <si>
    <t>Health Care Equipment</t>
  </si>
  <si>
    <t>ABBV</t>
  </si>
  <si>
    <t>AbbVie</t>
  </si>
  <si>
    <t>Biotechnology</t>
  </si>
  <si>
    <t xml:space="preserve">ACN </t>
  </si>
  <si>
    <t>Accenture</t>
  </si>
  <si>
    <t>Information Technology</t>
  </si>
  <si>
    <t>IT Consuting &amp; Other Services</t>
  </si>
  <si>
    <t>ADBE</t>
  </si>
  <si>
    <t>Adobe Inc.</t>
  </si>
  <si>
    <t>Application Software</t>
  </si>
  <si>
    <t>AMD</t>
  </si>
  <si>
    <t>Advanced Micro Devices</t>
  </si>
  <si>
    <t>Semiconductors</t>
  </si>
  <si>
    <t>AES</t>
  </si>
  <si>
    <t>AES Corporation</t>
  </si>
  <si>
    <t>Utilities</t>
  </si>
  <si>
    <t>Independent Power Producers &amp; Energy Traders</t>
  </si>
  <si>
    <t>AFL</t>
  </si>
  <si>
    <t>Aflac</t>
  </si>
  <si>
    <t>Financials</t>
  </si>
  <si>
    <t>Life &amp; Health Insurance</t>
  </si>
  <si>
    <t>A</t>
  </si>
  <si>
    <t>Agilent Technologies</t>
  </si>
  <si>
    <t>Life Sciences Tools &amp; Services</t>
  </si>
  <si>
    <t>APD</t>
  </si>
  <si>
    <t>Air Products and Chemicals</t>
  </si>
  <si>
    <t>Materials</t>
  </si>
  <si>
    <t>Industrial Gases</t>
  </si>
  <si>
    <t>ABNB</t>
  </si>
  <si>
    <t>Airbnb</t>
  </si>
  <si>
    <t>Consumer Discretionary</t>
  </si>
  <si>
    <t>Hotels, Resorts &amp; Cruise Lines</t>
  </si>
  <si>
    <t>AKAM</t>
  </si>
  <si>
    <t>Akamai</t>
  </si>
  <si>
    <t>Internet Services &amp; Infrastrcture</t>
  </si>
  <si>
    <t>ALB</t>
  </si>
  <si>
    <t>Albemarle Corporation</t>
  </si>
  <si>
    <t>Specialty Chemicals</t>
  </si>
  <si>
    <t>ARE</t>
  </si>
  <si>
    <t>Alexandria Real Estate Equities</t>
  </si>
  <si>
    <t>Real Estate</t>
  </si>
  <si>
    <t>Office REITs</t>
  </si>
  <si>
    <t>ALGN</t>
  </si>
  <si>
    <t>Align Technology</t>
  </si>
  <si>
    <t>Health Care Supplies</t>
  </si>
  <si>
    <t>ALLE</t>
  </si>
  <si>
    <t>Allegion</t>
  </si>
  <si>
    <t>Alliant Energy</t>
  </si>
  <si>
    <t>LNT</t>
  </si>
  <si>
    <t>Electric Utilities</t>
  </si>
  <si>
    <t xml:space="preserve">ALL </t>
  </si>
  <si>
    <t>Allstate</t>
  </si>
  <si>
    <t>Property &amp; Casualty Insurance</t>
  </si>
  <si>
    <t>GOOGL</t>
  </si>
  <si>
    <t>Alphabet Inc.</t>
  </si>
  <si>
    <t>Communication Services</t>
  </si>
  <si>
    <t>Interactive Media &amp; Services</t>
  </si>
  <si>
    <t xml:space="preserve">GOOG </t>
  </si>
  <si>
    <t>MO</t>
  </si>
  <si>
    <t>Altria</t>
  </si>
  <si>
    <t>Consumer Staples</t>
  </si>
  <si>
    <t>Tobacco</t>
  </si>
  <si>
    <t>Broadline Retail</t>
  </si>
  <si>
    <t>AMCR</t>
  </si>
  <si>
    <t>Amcor</t>
  </si>
  <si>
    <t>Paper &amp; Plastic Packaging Products &amp; Materials</t>
  </si>
  <si>
    <t>AEE</t>
  </si>
  <si>
    <t>Ameren</t>
  </si>
  <si>
    <t>Multi-Utilities</t>
  </si>
  <si>
    <t>AAL</t>
  </si>
  <si>
    <t>American Electric Power</t>
  </si>
  <si>
    <t>AEP</t>
  </si>
  <si>
    <t>American Airlines Group</t>
  </si>
  <si>
    <t>Passenger Airlines</t>
  </si>
  <si>
    <t>AXP</t>
  </si>
  <si>
    <t>American Express</t>
  </si>
  <si>
    <t>Consumer Finance</t>
  </si>
  <si>
    <t>AIG</t>
  </si>
  <si>
    <t>American International Group</t>
  </si>
  <si>
    <t>Multi-line Insurance</t>
  </si>
  <si>
    <t>AMT</t>
  </si>
  <si>
    <t>American Tower</t>
  </si>
  <si>
    <t>Telecom Tower REITs</t>
  </si>
  <si>
    <t>AWK</t>
  </si>
  <si>
    <t>American Water Works</t>
  </si>
  <si>
    <t>Water Utilities</t>
  </si>
  <si>
    <t>AMP</t>
  </si>
  <si>
    <t>Ameriprise Financial</t>
  </si>
  <si>
    <t>Asset Management &amp; Custody Banks</t>
  </si>
  <si>
    <t>AME</t>
  </si>
  <si>
    <t>Ametek</t>
  </si>
  <si>
    <t>Electrical Components &amp; Equipment</t>
  </si>
  <si>
    <t>AMGN</t>
  </si>
  <si>
    <t>Amgen</t>
  </si>
  <si>
    <t>APH</t>
  </si>
  <si>
    <t>Amphenol</t>
  </si>
  <si>
    <t>Electronic Components</t>
  </si>
  <si>
    <t>ADI</t>
  </si>
  <si>
    <t>Analog Devices</t>
  </si>
  <si>
    <t>ANSS</t>
  </si>
  <si>
    <t>Ansys</t>
  </si>
  <si>
    <t>AON</t>
  </si>
  <si>
    <t>Aon</t>
  </si>
  <si>
    <t>Insurance Brokers</t>
  </si>
  <si>
    <t>APA</t>
  </si>
  <si>
    <t>APA Corporation</t>
  </si>
  <si>
    <t>Energy</t>
  </si>
  <si>
    <t>Oil &amp; Gas Exploration &amp; Production</t>
  </si>
  <si>
    <t>Apple Inc.</t>
  </si>
  <si>
    <t>Technology Hardware, Storage &amp; Peripherals</t>
  </si>
  <si>
    <t>AMAT</t>
  </si>
  <si>
    <t>Applied Materials</t>
  </si>
  <si>
    <t>Semiconductor Materials &amp; Equipment</t>
  </si>
  <si>
    <t>APTV</t>
  </si>
  <si>
    <t>Aptiv</t>
  </si>
  <si>
    <t>Automotive Parts &amp; Equipment</t>
  </si>
  <si>
    <t>ACGL</t>
  </si>
  <si>
    <t>Arch Capital Group</t>
  </si>
  <si>
    <t>ADM</t>
  </si>
  <si>
    <t>Archer-Daniels-Midland</t>
  </si>
  <si>
    <t>Agricultural Products &amp; Services</t>
  </si>
  <si>
    <t>ANET</t>
  </si>
  <si>
    <t>Arista Networks</t>
  </si>
  <si>
    <t>Communications Equipment</t>
  </si>
  <si>
    <t>AJG</t>
  </si>
  <si>
    <t>Assurant</t>
  </si>
  <si>
    <t>AIZ</t>
  </si>
  <si>
    <t>T</t>
  </si>
  <si>
    <t>AT&amp;T</t>
  </si>
  <si>
    <t>Integrated Telecommunication Services</t>
  </si>
  <si>
    <t>ATO</t>
  </si>
  <si>
    <t>Atmos Energy</t>
  </si>
  <si>
    <t>Gas Utilities</t>
  </si>
  <si>
    <t>ADSK</t>
  </si>
  <si>
    <t>Autodesk</t>
  </si>
  <si>
    <t>ADP</t>
  </si>
  <si>
    <t>Automated Data Processing</t>
  </si>
  <si>
    <t>Human Resources &amp; Employment Services</t>
  </si>
  <si>
    <t>AZO</t>
  </si>
  <si>
    <t>AutoZone</t>
  </si>
  <si>
    <t>Automotive Retail</t>
  </si>
  <si>
    <t>AVB</t>
  </si>
  <si>
    <t>AvalonBay Communities</t>
  </si>
  <si>
    <t>Multi-Family Residential REITs</t>
  </si>
  <si>
    <t>AVY</t>
  </si>
  <si>
    <t>Avery Dennison</t>
  </si>
  <si>
    <t>AXON</t>
  </si>
  <si>
    <t>Axon Enterprise</t>
  </si>
  <si>
    <t>Aerospace &amp; Defense</t>
  </si>
  <si>
    <t>BKR</t>
  </si>
  <si>
    <t>Baker Hughes</t>
  </si>
  <si>
    <t>Oil &amp; Gas Equipment &amp; Services</t>
  </si>
  <si>
    <t>BALL</t>
  </si>
  <si>
    <t>Ball Corporation</t>
  </si>
  <si>
    <t>Metal, Glass &amp; Plastic Containers</t>
  </si>
  <si>
    <t>BAC</t>
  </si>
  <si>
    <t>Bank of America</t>
  </si>
  <si>
    <t>Diversified Banks</t>
  </si>
  <si>
    <t xml:space="preserve">BK </t>
  </si>
  <si>
    <t>Bank of New York Mellon</t>
  </si>
  <si>
    <t>BBWI</t>
  </si>
  <si>
    <t>Bath &amp; Body Works, Inc.</t>
  </si>
  <si>
    <t>Other Specialty Retail</t>
  </si>
  <si>
    <t>BAX</t>
  </si>
  <si>
    <t>Baxter International</t>
  </si>
  <si>
    <t>BDX</t>
  </si>
  <si>
    <t>Becton Dickinson</t>
  </si>
  <si>
    <t>BRK.B</t>
  </si>
  <si>
    <t>Berkshire Hathaway</t>
  </si>
  <si>
    <t>Multi-Sector Holdings</t>
  </si>
  <si>
    <t>BBY</t>
  </si>
  <si>
    <t>Bets Buy</t>
  </si>
  <si>
    <t>Computer &amp; Electronics Retail</t>
  </si>
  <si>
    <t>BIO</t>
  </si>
  <si>
    <t>Bio-Rad</t>
  </si>
  <si>
    <t>TECH</t>
  </si>
  <si>
    <t>Bio-Techne</t>
  </si>
  <si>
    <t>BIIB</t>
  </si>
  <si>
    <t>Biogen</t>
  </si>
  <si>
    <t>BLK</t>
  </si>
  <si>
    <t>BlackRock</t>
  </si>
  <si>
    <t>BX</t>
  </si>
  <si>
    <t>Blackstone</t>
  </si>
  <si>
    <t>BKNG</t>
  </si>
  <si>
    <t>Booking Holdings</t>
  </si>
  <si>
    <t>BWA</t>
  </si>
  <si>
    <t>BorgWarner</t>
  </si>
  <si>
    <t>BXP</t>
  </si>
  <si>
    <t>Boston Properties</t>
  </si>
  <si>
    <t>BSX</t>
  </si>
  <si>
    <t>Boston Scientific</t>
  </si>
  <si>
    <t>BMY</t>
  </si>
  <si>
    <t>Bristol Myers Squibb</t>
  </si>
  <si>
    <t>Pharmaceuticals</t>
  </si>
  <si>
    <t>AVGO</t>
  </si>
  <si>
    <t>Broadcom Inc.</t>
  </si>
  <si>
    <t>Broadridge Financial Solutions</t>
  </si>
  <si>
    <t xml:space="preserve">BR </t>
  </si>
  <si>
    <t>Data Processing &amp; Outsourced Services</t>
  </si>
  <si>
    <t>BRO</t>
  </si>
  <si>
    <t>Brown &amp; Brown</t>
  </si>
  <si>
    <t>BF.B</t>
  </si>
  <si>
    <t>Brown-Forman</t>
  </si>
  <si>
    <t>Distillers &amp; Vintners</t>
  </si>
  <si>
    <t>BLDR</t>
  </si>
  <si>
    <t>Builders FirstSource</t>
  </si>
  <si>
    <t>BG</t>
  </si>
  <si>
    <t>Bunge Global SA</t>
  </si>
  <si>
    <t>CDNS</t>
  </si>
  <si>
    <t>Cadence Design Systems</t>
  </si>
  <si>
    <t>CZR</t>
  </si>
  <si>
    <t>Caesars Entertainment</t>
  </si>
  <si>
    <t>Casinos &amp; Gaming</t>
  </si>
  <si>
    <t>CPT</t>
  </si>
  <si>
    <t>Camden Property Trust</t>
  </si>
  <si>
    <t>CPB</t>
  </si>
  <si>
    <t>Campbell Soup Company</t>
  </si>
  <si>
    <t>Packaged Food &amp; Meats</t>
  </si>
  <si>
    <t>COF</t>
  </si>
  <si>
    <t>Capital One</t>
  </si>
  <si>
    <t>CAH</t>
  </si>
  <si>
    <t>Cardinal Health</t>
  </si>
  <si>
    <t>Health Care Distributors</t>
  </si>
  <si>
    <t>KMX</t>
  </si>
  <si>
    <t>CarMax</t>
  </si>
  <si>
    <t>CCL</t>
  </si>
  <si>
    <t>Carnival</t>
  </si>
  <si>
    <t>CARR</t>
  </si>
  <si>
    <t>Carrier Global</t>
  </si>
  <si>
    <t>CTLT</t>
  </si>
  <si>
    <t>Catalent</t>
  </si>
  <si>
    <t>CAT</t>
  </si>
  <si>
    <t>Caterpillar Inc.</t>
  </si>
  <si>
    <t>Construction Machinery &amp; Heavy Transportation Equipment</t>
  </si>
  <si>
    <t>CBOE</t>
  </si>
  <si>
    <t>Cboe Global Markets</t>
  </si>
  <si>
    <t>Financial Exchanges &amp; Data</t>
  </si>
  <si>
    <t>CBRE</t>
  </si>
  <si>
    <t>CBRE Group</t>
  </si>
  <si>
    <t>Real Estate Services</t>
  </si>
  <si>
    <t>CDW</t>
  </si>
  <si>
    <t>Technology Distributors</t>
  </si>
  <si>
    <t xml:space="preserve">CE </t>
  </si>
  <si>
    <t>Celanese</t>
  </si>
  <si>
    <t>COR</t>
  </si>
  <si>
    <t>Cencora</t>
  </si>
  <si>
    <t>CNC</t>
  </si>
  <si>
    <t>Centene Corporation</t>
  </si>
  <si>
    <t>Managed Health Care</t>
  </si>
  <si>
    <t>CNP</t>
  </si>
  <si>
    <t>CenterPoint Energy</t>
  </si>
  <si>
    <t xml:space="preserve">CF </t>
  </si>
  <si>
    <t>CF Industries</t>
  </si>
  <si>
    <t>Fertilizers &amp; Agricultural Chemicals</t>
  </si>
  <si>
    <t>CHRW</t>
  </si>
  <si>
    <t>CH Robinson</t>
  </si>
  <si>
    <t>Air Freight &amp; Logistics</t>
  </si>
  <si>
    <t xml:space="preserve">CRL </t>
  </si>
  <si>
    <t>Charles River Laboratories</t>
  </si>
  <si>
    <t>SCHW</t>
  </si>
  <si>
    <t>Charles Schwab Corporation</t>
  </si>
  <si>
    <t>Investment Banking &amp; Brokerage</t>
  </si>
  <si>
    <t>CHTR</t>
  </si>
  <si>
    <t>Charter Communications</t>
  </si>
  <si>
    <t>Cable &amp; Satellite</t>
  </si>
  <si>
    <t>CVX</t>
  </si>
  <si>
    <t>Chevron Corporation</t>
  </si>
  <si>
    <t>Integrated Oil &amp; Gas</t>
  </si>
  <si>
    <t>CMG</t>
  </si>
  <si>
    <t>Chipotle Mexican Grill</t>
  </si>
  <si>
    <t>Restaurants</t>
  </si>
  <si>
    <t xml:space="preserve">CB </t>
  </si>
  <si>
    <t>Chubb Limited</t>
  </si>
  <si>
    <t>CHD</t>
  </si>
  <si>
    <t>Church &amp; Dwight</t>
  </si>
  <si>
    <t>Household Products</t>
  </si>
  <si>
    <t xml:space="preserve">CI </t>
  </si>
  <si>
    <t>Cigna</t>
  </si>
  <si>
    <t>Health Care Services</t>
  </si>
  <si>
    <t>CINF</t>
  </si>
  <si>
    <t>Cincinnati Financial</t>
  </si>
  <si>
    <t>CTAS</t>
  </si>
  <si>
    <t>Cintas</t>
  </si>
  <si>
    <t>Diversified Support Services</t>
  </si>
  <si>
    <t>CSCO</t>
  </si>
  <si>
    <t>Cisco</t>
  </si>
  <si>
    <t xml:space="preserve">C </t>
  </si>
  <si>
    <t>Citigroup</t>
  </si>
  <si>
    <t>CFG</t>
  </si>
  <si>
    <t>Citizens Financial Group</t>
  </si>
  <si>
    <t>Regional Banks</t>
  </si>
  <si>
    <t>CLX</t>
  </si>
  <si>
    <t>Clorox</t>
  </si>
  <si>
    <t>CME</t>
  </si>
  <si>
    <t>CME Group</t>
  </si>
  <si>
    <t>CMS</t>
  </si>
  <si>
    <t>CMS Energy</t>
  </si>
  <si>
    <t xml:space="preserve">KO </t>
  </si>
  <si>
    <t>Coca-Cola</t>
  </si>
  <si>
    <t>Soft Drinks &amp; Non-alcoholic Beverages</t>
  </si>
  <si>
    <t>CTSH</t>
  </si>
  <si>
    <t>Cognizant</t>
  </si>
  <si>
    <t xml:space="preserve">CL </t>
  </si>
  <si>
    <t>Colgate-Palmolive</t>
  </si>
  <si>
    <t>CMA</t>
  </si>
  <si>
    <t>Comerica</t>
  </si>
  <si>
    <t>CAG</t>
  </si>
  <si>
    <t>Conagra Brands</t>
  </si>
  <si>
    <t>COP</t>
  </si>
  <si>
    <t>ConocoPhillips</t>
  </si>
  <si>
    <t xml:space="preserve">ED </t>
  </si>
  <si>
    <t>Consolidated Edison</t>
  </si>
  <si>
    <t>STZ</t>
  </si>
  <si>
    <t>Constellation Brands</t>
  </si>
  <si>
    <t xml:space="preserve">CEG </t>
  </si>
  <si>
    <t>Constellation Energy</t>
  </si>
  <si>
    <t>COO</t>
  </si>
  <si>
    <t>CooperCompanies</t>
  </si>
  <si>
    <t>CPRT</t>
  </si>
  <si>
    <t>Copart</t>
  </si>
  <si>
    <t xml:space="preserve">GLW </t>
  </si>
  <si>
    <t>Corning</t>
  </si>
  <si>
    <t>CTVA</t>
  </si>
  <si>
    <t>Corteva</t>
  </si>
  <si>
    <t>CSGP</t>
  </si>
  <si>
    <t>CoStar Group</t>
  </si>
  <si>
    <t>COST</t>
  </si>
  <si>
    <t>Costco</t>
  </si>
  <si>
    <t>Consumer Staples, Merchandise Retail</t>
  </si>
  <si>
    <t>CTRA</t>
  </si>
  <si>
    <t>Coterra</t>
  </si>
  <si>
    <t xml:space="preserve">CCI </t>
  </si>
  <si>
    <t>Crown Castle</t>
  </si>
  <si>
    <t>CSX</t>
  </si>
  <si>
    <t>Rail Transportation</t>
  </si>
  <si>
    <t>CMI</t>
  </si>
  <si>
    <t>Cummins</t>
  </si>
  <si>
    <t>CVS</t>
  </si>
  <si>
    <t>CVS Health</t>
  </si>
  <si>
    <t>DHR</t>
  </si>
  <si>
    <t>Danaher Corporation</t>
  </si>
  <si>
    <t>DRI</t>
  </si>
  <si>
    <t>Darden Restaurants</t>
  </si>
  <si>
    <t>DVA</t>
  </si>
  <si>
    <t>DaVita Inc.</t>
  </si>
  <si>
    <t>DAY</t>
  </si>
  <si>
    <t>Dayforce</t>
  </si>
  <si>
    <t>DECK</t>
  </si>
  <si>
    <t>Deckers Brands</t>
  </si>
  <si>
    <t>Footwear</t>
  </si>
  <si>
    <t xml:space="preserve">DE </t>
  </si>
  <si>
    <t>John Deere</t>
  </si>
  <si>
    <t>Agricultural &amp; Farm Machinery</t>
  </si>
  <si>
    <t xml:space="preserve">DAL </t>
  </si>
  <si>
    <t>Delta Air Lines</t>
  </si>
  <si>
    <t>XRAY</t>
  </si>
  <si>
    <t>Dentsply Sirona</t>
  </si>
  <si>
    <t>DVN</t>
  </si>
  <si>
    <t>Devon Energy</t>
  </si>
  <si>
    <t>DXCM</t>
  </si>
  <si>
    <t>Dexcom</t>
  </si>
  <si>
    <t>FANG</t>
  </si>
  <si>
    <t>Diamondback Energy</t>
  </si>
  <si>
    <t xml:space="preserve">DLR </t>
  </si>
  <si>
    <t>Digital Realty</t>
  </si>
  <si>
    <t>Data Center REITs</t>
  </si>
  <si>
    <t xml:space="preserve">DFS </t>
  </si>
  <si>
    <t>Discover Financial</t>
  </si>
  <si>
    <t xml:space="preserve">DG </t>
  </si>
  <si>
    <t>Dollar General</t>
  </si>
  <si>
    <t xml:space="preserve">DLTR </t>
  </si>
  <si>
    <t>Dollar Tree</t>
  </si>
  <si>
    <t xml:space="preserve">D </t>
  </si>
  <si>
    <t>Dominion Energy</t>
  </si>
  <si>
    <t xml:space="preserve">DPZ </t>
  </si>
  <si>
    <t>Domino's</t>
  </si>
  <si>
    <t xml:space="preserve">DOV </t>
  </si>
  <si>
    <t>Dover Corporation</t>
  </si>
  <si>
    <t>Industrial Machinery &amp; Supplies &amp; Components</t>
  </si>
  <si>
    <t>DOW</t>
  </si>
  <si>
    <t>Dow Inc.</t>
  </si>
  <si>
    <t>Commodity Chemicals</t>
  </si>
  <si>
    <t xml:space="preserve">DHI </t>
  </si>
  <si>
    <t>DR Horton</t>
  </si>
  <si>
    <t>Homebuilding</t>
  </si>
  <si>
    <t xml:space="preserve">DTE </t>
  </si>
  <si>
    <t>DTE Energy</t>
  </si>
  <si>
    <t xml:space="preserve">DUK </t>
  </si>
  <si>
    <t>Duke Energy</t>
  </si>
  <si>
    <t xml:space="preserve">DD </t>
  </si>
  <si>
    <t>DuPont</t>
  </si>
  <si>
    <t>EMN</t>
  </si>
  <si>
    <t>Eastman Chemical Company</t>
  </si>
  <si>
    <t>ETN</t>
  </si>
  <si>
    <t>Eaton Corporation</t>
  </si>
  <si>
    <t>EBAY</t>
  </si>
  <si>
    <t>eBay</t>
  </si>
  <si>
    <t>ECL</t>
  </si>
  <si>
    <t>Ecolab</t>
  </si>
  <si>
    <t>EIX</t>
  </si>
  <si>
    <t>Edison International</t>
  </si>
  <si>
    <t xml:space="preserve">EW </t>
  </si>
  <si>
    <t>Edwards Lifesciences</t>
  </si>
  <si>
    <t xml:space="preserve">EA </t>
  </si>
  <si>
    <t>Electronic Arts</t>
  </si>
  <si>
    <t>Interactive Home Entertainment</t>
  </si>
  <si>
    <t xml:space="preserve">ELV </t>
  </si>
  <si>
    <t>Elevance Health</t>
  </si>
  <si>
    <t xml:space="preserve">LLY </t>
  </si>
  <si>
    <t>Eli Lilly and Company</t>
  </si>
  <si>
    <t>EMR</t>
  </si>
  <si>
    <t xml:space="preserve">Emerson Electric </t>
  </si>
  <si>
    <t>ENPH</t>
  </si>
  <si>
    <t>Enphase</t>
  </si>
  <si>
    <t>ETR</t>
  </si>
  <si>
    <t>Entergy</t>
  </si>
  <si>
    <t xml:space="preserve">EOG </t>
  </si>
  <si>
    <t>EOG Resources</t>
  </si>
  <si>
    <t xml:space="preserve">EPAM </t>
  </si>
  <si>
    <t>EPAM Systems</t>
  </si>
  <si>
    <t>EQT</t>
  </si>
  <si>
    <t xml:space="preserve">EFX </t>
  </si>
  <si>
    <t>Equifax</t>
  </si>
  <si>
    <t>Research &amp; Consulting Services</t>
  </si>
  <si>
    <t>EQIX</t>
  </si>
  <si>
    <t>Equinix</t>
  </si>
  <si>
    <t>EQR</t>
  </si>
  <si>
    <t>Equity Residential</t>
  </si>
  <si>
    <t>ESS</t>
  </si>
  <si>
    <t>Essex Property Trust</t>
  </si>
  <si>
    <t xml:space="preserve">EL </t>
  </si>
  <si>
    <t>Estee Lauder Companies (The)</t>
  </si>
  <si>
    <t>Personal Care Products</t>
  </si>
  <si>
    <t>ETSY</t>
  </si>
  <si>
    <t>Etsy</t>
  </si>
  <si>
    <t xml:space="preserve">EG </t>
  </si>
  <si>
    <t>Everest Re</t>
  </si>
  <si>
    <t>Reinsurance</t>
  </si>
  <si>
    <t>EVRG</t>
  </si>
  <si>
    <t>Evergy</t>
  </si>
  <si>
    <t xml:space="preserve">ES </t>
  </si>
  <si>
    <t>Eversource</t>
  </si>
  <si>
    <t>EXC</t>
  </si>
  <si>
    <t>Exelon</t>
  </si>
  <si>
    <t>EXPE</t>
  </si>
  <si>
    <t>Expedia Group</t>
  </si>
  <si>
    <t xml:space="preserve">EXPD </t>
  </si>
  <si>
    <t>Expeditors International</t>
  </si>
  <si>
    <t xml:space="preserve">EXR </t>
  </si>
  <si>
    <t>Extra Space Storage</t>
  </si>
  <si>
    <t>Self-Storage REITs</t>
  </si>
  <si>
    <t>FFIV</t>
  </si>
  <si>
    <t>F5, Inc.</t>
  </si>
  <si>
    <t>FDS</t>
  </si>
  <si>
    <t>FactSet</t>
  </si>
  <si>
    <t>FICO</t>
  </si>
  <si>
    <t>Fair Isaac</t>
  </si>
  <si>
    <t>FAST</t>
  </si>
  <si>
    <t>Fastenal</t>
  </si>
  <si>
    <t>Trading Companies &amp; Distributors</t>
  </si>
  <si>
    <t xml:space="preserve">FRT </t>
  </si>
  <si>
    <t>Federal Realty</t>
  </si>
  <si>
    <t>Retail REITs</t>
  </si>
  <si>
    <t xml:space="preserve">FDX </t>
  </si>
  <si>
    <t>FedEx</t>
  </si>
  <si>
    <t>FIS</t>
  </si>
  <si>
    <t>Fidelity National Information Services</t>
  </si>
  <si>
    <t>Transaction &amp; Payment Processing Services</t>
  </si>
  <si>
    <t>FITB</t>
  </si>
  <si>
    <t>Fifth Third Bank</t>
  </si>
  <si>
    <t>FSLR</t>
  </si>
  <si>
    <t>First Solar</t>
  </si>
  <si>
    <t xml:space="preserve">FE </t>
  </si>
  <si>
    <t>FirstEnergy</t>
  </si>
  <si>
    <t xml:space="preserve">FI </t>
  </si>
  <si>
    <t>Fiserv</t>
  </si>
  <si>
    <t xml:space="preserve">FLT </t>
  </si>
  <si>
    <t>Fleetcor</t>
  </si>
  <si>
    <t xml:space="preserve">FMC </t>
  </si>
  <si>
    <t>FMC Corporation</t>
  </si>
  <si>
    <t xml:space="preserve">F </t>
  </si>
  <si>
    <t>Ford Motor Company</t>
  </si>
  <si>
    <t>Automobile Manufacturers</t>
  </si>
  <si>
    <t>FTNT</t>
  </si>
  <si>
    <t>Fortinet</t>
  </si>
  <si>
    <t>Systems Software</t>
  </si>
  <si>
    <t>FTV</t>
  </si>
  <si>
    <t>Fortive</t>
  </si>
  <si>
    <t>FOXA</t>
  </si>
  <si>
    <t>Fox Corporation</t>
  </si>
  <si>
    <t>Broadcasting</t>
  </si>
  <si>
    <t xml:space="preserve">FOX </t>
  </si>
  <si>
    <t xml:space="preserve">BEN </t>
  </si>
  <si>
    <t>Franklin Templeton</t>
  </si>
  <si>
    <t>FCX</t>
  </si>
  <si>
    <t>Freeport-McMoRan</t>
  </si>
  <si>
    <t>Copper</t>
  </si>
  <si>
    <t>GRMN</t>
  </si>
  <si>
    <t>Garmin</t>
  </si>
  <si>
    <t>Consumer Electronics</t>
  </si>
  <si>
    <t xml:space="preserve">IT </t>
  </si>
  <si>
    <t>Gartner</t>
  </si>
  <si>
    <t>GEHC</t>
  </si>
  <si>
    <t>GE HealthCare</t>
  </si>
  <si>
    <t xml:space="preserve">GEN </t>
  </si>
  <si>
    <t>Gen Digital</t>
  </si>
  <si>
    <t>GNRC</t>
  </si>
  <si>
    <t>Generac</t>
  </si>
  <si>
    <t xml:space="preserve">GD </t>
  </si>
  <si>
    <t>General Dynamics</t>
  </si>
  <si>
    <t xml:space="preserve">GE </t>
  </si>
  <si>
    <t xml:space="preserve">GIS </t>
  </si>
  <si>
    <t>General Mills</t>
  </si>
  <si>
    <t xml:space="preserve">GM </t>
  </si>
  <si>
    <t>General Motors</t>
  </si>
  <si>
    <t>GPC</t>
  </si>
  <si>
    <t>Genuine Parts Company</t>
  </si>
  <si>
    <t>Distributors</t>
  </si>
  <si>
    <t xml:space="preserve">GILD </t>
  </si>
  <si>
    <t>Gilead Sciences</t>
  </si>
  <si>
    <t xml:space="preserve">GPN </t>
  </si>
  <si>
    <t>Global Payments</t>
  </si>
  <si>
    <t xml:space="preserve">GL </t>
  </si>
  <si>
    <t>Globe Life</t>
  </si>
  <si>
    <t xml:space="preserve">GS </t>
  </si>
  <si>
    <t xml:space="preserve">HAL </t>
  </si>
  <si>
    <t>Halliburton</t>
  </si>
  <si>
    <t>HIG</t>
  </si>
  <si>
    <t>Hartford (The)</t>
  </si>
  <si>
    <t xml:space="preserve">HAS </t>
  </si>
  <si>
    <t>Hasbro</t>
  </si>
  <si>
    <t>Leisure Products</t>
  </si>
  <si>
    <t>HCA</t>
  </si>
  <si>
    <t>HCA Healthcare</t>
  </si>
  <si>
    <t>Health Care Facilities</t>
  </si>
  <si>
    <t>DOC</t>
  </si>
  <si>
    <t>Healthpeak</t>
  </si>
  <si>
    <t>Health Care REITs</t>
  </si>
  <si>
    <t>HSIC</t>
  </si>
  <si>
    <t>Henry Schein</t>
  </si>
  <si>
    <t xml:space="preserve">HSY </t>
  </si>
  <si>
    <t>Hershey's</t>
  </si>
  <si>
    <t>HES</t>
  </si>
  <si>
    <t>Hess Corporation</t>
  </si>
  <si>
    <t>HPE</t>
  </si>
  <si>
    <t>Hewlett Packard Enterprise</t>
  </si>
  <si>
    <t>HLT</t>
  </si>
  <si>
    <t>Hilton Worldwide</t>
  </si>
  <si>
    <t>HOLX</t>
  </si>
  <si>
    <t>Hologic</t>
  </si>
  <si>
    <t xml:space="preserve">HD </t>
  </si>
  <si>
    <t>Home Depot (The)</t>
  </si>
  <si>
    <t>Home Improvement Retail</t>
  </si>
  <si>
    <t xml:space="preserve">HON </t>
  </si>
  <si>
    <t>Honeywell</t>
  </si>
  <si>
    <t>HRL</t>
  </si>
  <si>
    <t>Hormel Foods</t>
  </si>
  <si>
    <t>HST</t>
  </si>
  <si>
    <t>Host Hotels &amp; Resorts</t>
  </si>
  <si>
    <t>Hotel &amp; Resort REITs</t>
  </si>
  <si>
    <t>HWM</t>
  </si>
  <si>
    <t>Howmet Aerospace</t>
  </si>
  <si>
    <t>HP Inc.</t>
  </si>
  <si>
    <t>HUBB</t>
  </si>
  <si>
    <t>Hubbell Incorporated</t>
  </si>
  <si>
    <t>HUM</t>
  </si>
  <si>
    <t>Humana</t>
  </si>
  <si>
    <t>HBAN</t>
  </si>
  <si>
    <t>Huntington Bancshares</t>
  </si>
  <si>
    <t>HII</t>
  </si>
  <si>
    <t>Huntington Ingalls Industries</t>
  </si>
  <si>
    <t>IBM</t>
  </si>
  <si>
    <t>IEX</t>
  </si>
  <si>
    <t>IDEX Corporation</t>
  </si>
  <si>
    <t>IDXX</t>
  </si>
  <si>
    <t>Idexx Laboratories</t>
  </si>
  <si>
    <t>ITW</t>
  </si>
  <si>
    <t>Illinois Tool Works</t>
  </si>
  <si>
    <t>ILMN</t>
  </si>
  <si>
    <t>Illumina</t>
  </si>
  <si>
    <t>Incyte</t>
  </si>
  <si>
    <t>INCY</t>
  </si>
  <si>
    <t>Ingersoll Rand</t>
  </si>
  <si>
    <t xml:space="preserve">IR </t>
  </si>
  <si>
    <t>PODD</t>
  </si>
  <si>
    <t>Insulet</t>
  </si>
  <si>
    <t>INTC</t>
  </si>
  <si>
    <t>Intel</t>
  </si>
  <si>
    <t>ICE</t>
  </si>
  <si>
    <t>Intercontinental Exchange</t>
  </si>
  <si>
    <t>IFF</t>
  </si>
  <si>
    <t>International Flavors &amp; Fragrances</t>
  </si>
  <si>
    <t xml:space="preserve">IP </t>
  </si>
  <si>
    <t>International Paper</t>
  </si>
  <si>
    <t>IPG</t>
  </si>
  <si>
    <t>Interpublic Group of Companies (The)</t>
  </si>
  <si>
    <t>Advertising</t>
  </si>
  <si>
    <t>INTU</t>
  </si>
  <si>
    <t>Intuit</t>
  </si>
  <si>
    <t>ISRG</t>
  </si>
  <si>
    <t>Intuitive Surgical</t>
  </si>
  <si>
    <t>IVZ</t>
  </si>
  <si>
    <t>Invesco</t>
  </si>
  <si>
    <t>INVH</t>
  </si>
  <si>
    <t>Invitation Homes</t>
  </si>
  <si>
    <t>Single-Family Residential REITs</t>
  </si>
  <si>
    <t>IQV</t>
  </si>
  <si>
    <t>IQVIA</t>
  </si>
  <si>
    <t>IRM</t>
  </si>
  <si>
    <t>Iron Mountain</t>
  </si>
  <si>
    <t>Other Specialized REITs</t>
  </si>
  <si>
    <t>JBHT</t>
  </si>
  <si>
    <t>J.B. Hunt</t>
  </si>
  <si>
    <t>Cargo Ground Transportation</t>
  </si>
  <si>
    <t>JBL</t>
  </si>
  <si>
    <t>Jabil</t>
  </si>
  <si>
    <t>Electronic Manufacturing Services</t>
  </si>
  <si>
    <t>JKHY</t>
  </si>
  <si>
    <t>Jack Henry &amp; Associates</t>
  </si>
  <si>
    <t xml:space="preserve">J </t>
  </si>
  <si>
    <t>Jacobs Solutions</t>
  </si>
  <si>
    <t>Construction &amp; Engineering</t>
  </si>
  <si>
    <t>Johnson &amp; Johnson</t>
  </si>
  <si>
    <t>JCI</t>
  </si>
  <si>
    <t>Johnson Controls</t>
  </si>
  <si>
    <t>JPM</t>
  </si>
  <si>
    <t>JPMorgan Chase</t>
  </si>
  <si>
    <t>JNPR</t>
  </si>
  <si>
    <t>Juniper Networks</t>
  </si>
  <si>
    <t xml:space="preserve">K </t>
  </si>
  <si>
    <t>Kellanova</t>
  </si>
  <si>
    <t>KVUE</t>
  </si>
  <si>
    <t>Kenvue</t>
  </si>
  <si>
    <t>KDP</t>
  </si>
  <si>
    <t>Keurig Dr Pepper</t>
  </si>
  <si>
    <t>KEY</t>
  </si>
  <si>
    <t>KeyCorp</t>
  </si>
  <si>
    <t>KEYS</t>
  </si>
  <si>
    <t>Keysight</t>
  </si>
  <si>
    <t>Electronic Equipment &amp; Instruments</t>
  </si>
  <si>
    <t>KMB</t>
  </si>
  <si>
    <t>Kimberly-Clark</t>
  </si>
  <si>
    <t>KIM</t>
  </si>
  <si>
    <t>Kimco Realty</t>
  </si>
  <si>
    <t>KMI</t>
  </si>
  <si>
    <t>Kinder Morgan</t>
  </si>
  <si>
    <t>Oil &amp; Gas Storage &amp; Transportation</t>
  </si>
  <si>
    <t>KLAC</t>
  </si>
  <si>
    <t>KLA Corporation</t>
  </si>
  <si>
    <t>KHC</t>
  </si>
  <si>
    <t>Kraft Heinz</t>
  </si>
  <si>
    <t xml:space="preserve">KR </t>
  </si>
  <si>
    <t>Kroger</t>
  </si>
  <si>
    <t>Food Retail</t>
  </si>
  <si>
    <t>LHX</t>
  </si>
  <si>
    <t>L3Harris</t>
  </si>
  <si>
    <t xml:space="preserve">LH </t>
  </si>
  <si>
    <t>LabCorp</t>
  </si>
  <si>
    <t>LRCX</t>
  </si>
  <si>
    <t>Lam Research</t>
  </si>
  <si>
    <t>LW</t>
  </si>
  <si>
    <t>Lamb Weston</t>
  </si>
  <si>
    <t>LVS</t>
  </si>
  <si>
    <t>Las Vegas Sands</t>
  </si>
  <si>
    <t>LDOS</t>
  </si>
  <si>
    <t>Leidos</t>
  </si>
  <si>
    <t>LEN</t>
  </si>
  <si>
    <t>Lennar</t>
  </si>
  <si>
    <t>LIN</t>
  </si>
  <si>
    <t>Linde plc</t>
  </si>
  <si>
    <t>LYV</t>
  </si>
  <si>
    <t>Live Nation Entertainment</t>
  </si>
  <si>
    <t>Movies &amp; Entertainment</t>
  </si>
  <si>
    <t>LKQ</t>
  </si>
  <si>
    <t>LKQ Corporation</t>
  </si>
  <si>
    <t>LMT</t>
  </si>
  <si>
    <t>Lockheed Martin</t>
  </si>
  <si>
    <t xml:space="preserve">L </t>
  </si>
  <si>
    <t>Loews Corporation</t>
  </si>
  <si>
    <t>LOW</t>
  </si>
  <si>
    <t>Lowe's</t>
  </si>
  <si>
    <t>LULU</t>
  </si>
  <si>
    <t>Lululemon Athletica</t>
  </si>
  <si>
    <t>Apparel, Acessories &amp; Luxury Goods</t>
  </si>
  <si>
    <t>LYB</t>
  </si>
  <si>
    <t>LyondellBasell</t>
  </si>
  <si>
    <t xml:space="preserve">MTB </t>
  </si>
  <si>
    <t>M&amp;T Bank</t>
  </si>
  <si>
    <t>MRO</t>
  </si>
  <si>
    <t>Marathon Oil</t>
  </si>
  <si>
    <t>MPC</t>
  </si>
  <si>
    <t>Marathon Petroleum</t>
  </si>
  <si>
    <t>Oil &amp; Gas Refining &amp; Marketing</t>
  </si>
  <si>
    <t>MKTX</t>
  </si>
  <si>
    <t>MarketAxess</t>
  </si>
  <si>
    <t>MAR</t>
  </si>
  <si>
    <t>Marriott International</t>
  </si>
  <si>
    <t>MMC</t>
  </si>
  <si>
    <t>Marsh McLennan</t>
  </si>
  <si>
    <t>MLM</t>
  </si>
  <si>
    <t>Martin Marietta Materials</t>
  </si>
  <si>
    <t>Construction Materials</t>
  </si>
  <si>
    <t xml:space="preserve">MAS </t>
  </si>
  <si>
    <t>Masco</t>
  </si>
  <si>
    <t xml:space="preserve">MA </t>
  </si>
  <si>
    <t>Mastercard</t>
  </si>
  <si>
    <t>MTCH</t>
  </si>
  <si>
    <t>Match Group</t>
  </si>
  <si>
    <t>MKC</t>
  </si>
  <si>
    <t>McCormick &amp; Company</t>
  </si>
  <si>
    <t>MCD</t>
  </si>
  <si>
    <t>McDonald's</t>
  </si>
  <si>
    <t>MCK</t>
  </si>
  <si>
    <t>McKesson</t>
  </si>
  <si>
    <t>MDT</t>
  </si>
  <si>
    <t>Medtronic</t>
  </si>
  <si>
    <t>Merck &amp; Co.</t>
  </si>
  <si>
    <t>Meta Platforms</t>
  </si>
  <si>
    <t xml:space="preserve">MET </t>
  </si>
  <si>
    <t xml:space="preserve">MetLife </t>
  </si>
  <si>
    <t>MTD</t>
  </si>
  <si>
    <t>Mettler Toledo</t>
  </si>
  <si>
    <t>MGM</t>
  </si>
  <si>
    <t>MGM Resorts</t>
  </si>
  <si>
    <t>MCHP</t>
  </si>
  <si>
    <t>Microchip Technology</t>
  </si>
  <si>
    <t xml:space="preserve">MU </t>
  </si>
  <si>
    <t>Micron Technology</t>
  </si>
  <si>
    <t>MSFT</t>
  </si>
  <si>
    <t>Microsoft</t>
  </si>
  <si>
    <t xml:space="preserve">MAA </t>
  </si>
  <si>
    <t>Mid-America Apartment Communities</t>
  </si>
  <si>
    <t>MRNA</t>
  </si>
  <si>
    <t>Moderna</t>
  </si>
  <si>
    <t>MHK</t>
  </si>
  <si>
    <t>Mohawk Industries</t>
  </si>
  <si>
    <t>Home Furnishings</t>
  </si>
  <si>
    <t>MOH</t>
  </si>
  <si>
    <t>Molina Healthcare</t>
  </si>
  <si>
    <t>TAP</t>
  </si>
  <si>
    <t>Molson Coors Beverage Company</t>
  </si>
  <si>
    <t>Brewers</t>
  </si>
  <si>
    <t>MDLZ</t>
  </si>
  <si>
    <t>Mondelez International</t>
  </si>
  <si>
    <t>MPWR</t>
  </si>
  <si>
    <t>Monolithic Power Systems</t>
  </si>
  <si>
    <t>MNST</t>
  </si>
  <si>
    <t>Monster Beverage</t>
  </si>
  <si>
    <t>MCO</t>
  </si>
  <si>
    <t>Moody's Corporation</t>
  </si>
  <si>
    <t xml:space="preserve">MS </t>
  </si>
  <si>
    <t>Morgan Stanley</t>
  </si>
  <si>
    <t xml:space="preserve">MOS </t>
  </si>
  <si>
    <t>Mosaic Company</t>
  </si>
  <si>
    <t xml:space="preserve">MSI </t>
  </si>
  <si>
    <t>Motorola Solutions</t>
  </si>
  <si>
    <t>MSCI</t>
  </si>
  <si>
    <t>NDAQ</t>
  </si>
  <si>
    <t>Nasdaq, Inc.</t>
  </si>
  <si>
    <t>NTAP</t>
  </si>
  <si>
    <t>NetApp</t>
  </si>
  <si>
    <t>NFLX</t>
  </si>
  <si>
    <t>Netflix</t>
  </si>
  <si>
    <t>NEM</t>
  </si>
  <si>
    <t>Newmont</t>
  </si>
  <si>
    <t>Gold</t>
  </si>
  <si>
    <t>NWSA</t>
  </si>
  <si>
    <t>News Corp</t>
  </si>
  <si>
    <t>Publishing</t>
  </si>
  <si>
    <t xml:space="preserve">NWS </t>
  </si>
  <si>
    <t>NEE</t>
  </si>
  <si>
    <t>NextEra Energy</t>
  </si>
  <si>
    <t>NKE</t>
  </si>
  <si>
    <t>Nike, Inc.</t>
  </si>
  <si>
    <t xml:space="preserve">NI </t>
  </si>
  <si>
    <t>NiSource</t>
  </si>
  <si>
    <t>NDSN</t>
  </si>
  <si>
    <t>Nordson Corporation</t>
  </si>
  <si>
    <t>NSC</t>
  </si>
  <si>
    <t>Norfolk Southern Railway</t>
  </si>
  <si>
    <t>NTRS</t>
  </si>
  <si>
    <t>Northern Trust</t>
  </si>
  <si>
    <t>NOC</t>
  </si>
  <si>
    <t>Northrop Grumman</t>
  </si>
  <si>
    <t>NCLH</t>
  </si>
  <si>
    <t>Norwegian Cruise Line Holdings</t>
  </si>
  <si>
    <t xml:space="preserve">NRG </t>
  </si>
  <si>
    <t>NRG Energy</t>
  </si>
  <si>
    <t xml:space="preserve">NUE </t>
  </si>
  <si>
    <t>Nucor</t>
  </si>
  <si>
    <t>Steel</t>
  </si>
  <si>
    <t>NVDA</t>
  </si>
  <si>
    <t>Nvidia</t>
  </si>
  <si>
    <t xml:space="preserve">NVR </t>
  </si>
  <si>
    <t>NVR, Inc.</t>
  </si>
  <si>
    <t>NXPI</t>
  </si>
  <si>
    <t>NXP Semiconductors</t>
  </si>
  <si>
    <t>ORLY</t>
  </si>
  <si>
    <t>O'Reilly Auto Parts</t>
  </si>
  <si>
    <t>OXY</t>
  </si>
  <si>
    <t>Occidental Petroleum</t>
  </si>
  <si>
    <t>ODFL</t>
  </si>
  <si>
    <t>Old Dominion</t>
  </si>
  <si>
    <t xml:space="preserve">OMC </t>
  </si>
  <si>
    <t>Omnicom Group</t>
  </si>
  <si>
    <t xml:space="preserve">ON </t>
  </si>
  <si>
    <t>ON Semiconductor</t>
  </si>
  <si>
    <t xml:space="preserve">OKE </t>
  </si>
  <si>
    <t>ONEOK</t>
  </si>
  <si>
    <t xml:space="preserve">ORCL </t>
  </si>
  <si>
    <t>Oracle Corporation</t>
  </si>
  <si>
    <t>OTIS</t>
  </si>
  <si>
    <t>Otis Worldwide</t>
  </si>
  <si>
    <t>PCAR</t>
  </si>
  <si>
    <t>Paccar</t>
  </si>
  <si>
    <t>PKG</t>
  </si>
  <si>
    <t>Packaging Corporation of America</t>
  </si>
  <si>
    <t>PANW</t>
  </si>
  <si>
    <t>Palo Alto Networks</t>
  </si>
  <si>
    <t>PARA</t>
  </si>
  <si>
    <t>Paramount Global</t>
  </si>
  <si>
    <t xml:space="preserve">PH </t>
  </si>
  <si>
    <t>Parker Hannifin</t>
  </si>
  <si>
    <t>PAYX</t>
  </si>
  <si>
    <t>Paychex</t>
  </si>
  <si>
    <t>PAYC</t>
  </si>
  <si>
    <t>Paycom</t>
  </si>
  <si>
    <t>PYPL</t>
  </si>
  <si>
    <t>PayPal</t>
  </si>
  <si>
    <t>PNR</t>
  </si>
  <si>
    <t>Pentair</t>
  </si>
  <si>
    <t>PepsiCo</t>
  </si>
  <si>
    <t>PCG</t>
  </si>
  <si>
    <t>PG&amp;E Corporation</t>
  </si>
  <si>
    <t xml:space="preserve">PM </t>
  </si>
  <si>
    <t>Philip Morris International</t>
  </si>
  <si>
    <t>PSX</t>
  </si>
  <si>
    <t>Phillips 66</t>
  </si>
  <si>
    <t xml:space="preserve">PNW </t>
  </si>
  <si>
    <t>Pinnacle West</t>
  </si>
  <si>
    <t>PXD</t>
  </si>
  <si>
    <t>Pioneer Natural Resources</t>
  </si>
  <si>
    <t>PNC</t>
  </si>
  <si>
    <t>PNC Financial Services</t>
  </si>
  <si>
    <t xml:space="preserve">POOL </t>
  </si>
  <si>
    <t>Pool Corporation</t>
  </si>
  <si>
    <t>PPG</t>
  </si>
  <si>
    <t>PPG Industries</t>
  </si>
  <si>
    <t xml:space="preserve">PPL </t>
  </si>
  <si>
    <t>PPL Corporation</t>
  </si>
  <si>
    <t>PFG</t>
  </si>
  <si>
    <t>Procter &amp; Gamble</t>
  </si>
  <si>
    <t>PGR</t>
  </si>
  <si>
    <t>Progressive Corporation</t>
  </si>
  <si>
    <t xml:space="preserve">PLD </t>
  </si>
  <si>
    <t>Prologis</t>
  </si>
  <si>
    <t>Industrial REITs</t>
  </si>
  <si>
    <t>PRU</t>
  </si>
  <si>
    <t xml:space="preserve">Prudential Financial </t>
  </si>
  <si>
    <t xml:space="preserve">PEG </t>
  </si>
  <si>
    <t>Public Service Enterprise Group</t>
  </si>
  <si>
    <t>PTC</t>
  </si>
  <si>
    <t>PSA</t>
  </si>
  <si>
    <t>Public Storage</t>
  </si>
  <si>
    <t>PHM</t>
  </si>
  <si>
    <t>PulteGroup</t>
  </si>
  <si>
    <t>QRVO</t>
  </si>
  <si>
    <t>Qorvo</t>
  </si>
  <si>
    <t>PWR</t>
  </si>
  <si>
    <t>Quanta Services</t>
  </si>
  <si>
    <t>QCOM</t>
  </si>
  <si>
    <t>Qualcomm</t>
  </si>
  <si>
    <t>DGX</t>
  </si>
  <si>
    <t>Quest Diagnostics</t>
  </si>
  <si>
    <t xml:space="preserve">RL </t>
  </si>
  <si>
    <t>Ralph Lauren Corporation</t>
  </si>
  <si>
    <t>RJF</t>
  </si>
  <si>
    <t>Raymond James</t>
  </si>
  <si>
    <t>RTX</t>
  </si>
  <si>
    <t>RTX Corporation</t>
  </si>
  <si>
    <t xml:space="preserve">O </t>
  </si>
  <si>
    <t>Realty Income</t>
  </si>
  <si>
    <t xml:space="preserve">REG </t>
  </si>
  <si>
    <t>Regeneron</t>
  </si>
  <si>
    <t xml:space="preserve">RF </t>
  </si>
  <si>
    <t>Regions Financial Corporation</t>
  </si>
  <si>
    <t>RSG</t>
  </si>
  <si>
    <t>Republic Services</t>
  </si>
  <si>
    <t>Environmental &amp; Facilities Services</t>
  </si>
  <si>
    <t xml:space="preserve">RMD </t>
  </si>
  <si>
    <t>ResMed</t>
  </si>
  <si>
    <t>RVTY</t>
  </si>
  <si>
    <t>Revvity</t>
  </si>
  <si>
    <t>RHI</t>
  </si>
  <si>
    <t>Robert Half</t>
  </si>
  <si>
    <t>ROK</t>
  </si>
  <si>
    <t>Rockwell Automation</t>
  </si>
  <si>
    <t xml:space="preserve">ROL </t>
  </si>
  <si>
    <t>Rollins, Inc.</t>
  </si>
  <si>
    <t>ROP</t>
  </si>
  <si>
    <t>Roper Technologies</t>
  </si>
  <si>
    <t xml:space="preserve">ROST </t>
  </si>
  <si>
    <t>Ross Stores</t>
  </si>
  <si>
    <t>Apparel Retail</t>
  </si>
  <si>
    <t xml:space="preserve">RCL </t>
  </si>
  <si>
    <t>Royal Caribbean Group</t>
  </si>
  <si>
    <t>SPGI</t>
  </si>
  <si>
    <t>S&amp;P Global</t>
  </si>
  <si>
    <t>CRM</t>
  </si>
  <si>
    <t>Salesforce</t>
  </si>
  <si>
    <t>SBAC</t>
  </si>
  <si>
    <t>SBA Communications</t>
  </si>
  <si>
    <t>SLB</t>
  </si>
  <si>
    <t>Schlumberger</t>
  </si>
  <si>
    <t>Seagate Technology</t>
  </si>
  <si>
    <t>SRE</t>
  </si>
  <si>
    <t>Sempra Energy</t>
  </si>
  <si>
    <t>NOW</t>
  </si>
  <si>
    <t>ServiceNow</t>
  </si>
  <si>
    <t>SHW</t>
  </si>
  <si>
    <t>Sherwin-Williams</t>
  </si>
  <si>
    <t xml:space="preserve">SPG </t>
  </si>
  <si>
    <t>Simon Property Group</t>
  </si>
  <si>
    <t>SWKS</t>
  </si>
  <si>
    <t>Skyworks Solutions</t>
  </si>
  <si>
    <t>SJM</t>
  </si>
  <si>
    <t>J.M. Smucker Company (The)</t>
  </si>
  <si>
    <t>SNA</t>
  </si>
  <si>
    <t>Snap-on</t>
  </si>
  <si>
    <t xml:space="preserve">SO </t>
  </si>
  <si>
    <t>Southern Company</t>
  </si>
  <si>
    <t xml:space="preserve">LUV </t>
  </si>
  <si>
    <t>Southwest Airlines</t>
  </si>
  <si>
    <t xml:space="preserve">SWK </t>
  </si>
  <si>
    <t>Stanley Black &amp; Decker</t>
  </si>
  <si>
    <t>STT</t>
  </si>
  <si>
    <t>State Street Corporation</t>
  </si>
  <si>
    <t>STLD</t>
  </si>
  <si>
    <t>Steel Dynamics</t>
  </si>
  <si>
    <t xml:space="preserve">STE </t>
  </si>
  <si>
    <t>Steris</t>
  </si>
  <si>
    <t xml:space="preserve">SYK </t>
  </si>
  <si>
    <t>Stryker Corporation</t>
  </si>
  <si>
    <t xml:space="preserve">SMCI </t>
  </si>
  <si>
    <t>Synchrony Financial</t>
  </si>
  <si>
    <t>SNPS</t>
  </si>
  <si>
    <t>Synopsys</t>
  </si>
  <si>
    <t xml:space="preserve">SYY </t>
  </si>
  <si>
    <t>Sysco</t>
  </si>
  <si>
    <t>Food Distributors</t>
  </si>
  <si>
    <t xml:space="preserve">TMUS </t>
  </si>
  <si>
    <t>T-Mobile US</t>
  </si>
  <si>
    <t>Wireless Telecommunicaitons Services</t>
  </si>
  <si>
    <t>TROW</t>
  </si>
  <si>
    <t>T.Rowe Price</t>
  </si>
  <si>
    <t>TTWO</t>
  </si>
  <si>
    <t>Take-Two Interactive</t>
  </si>
  <si>
    <t>TPR</t>
  </si>
  <si>
    <t>Tapestry, Inc.</t>
  </si>
  <si>
    <t xml:space="preserve">TRGP </t>
  </si>
  <si>
    <t>Targa Resources</t>
  </si>
  <si>
    <t>TGT</t>
  </si>
  <si>
    <t>Target Corporation</t>
  </si>
  <si>
    <t xml:space="preserve">TEL </t>
  </si>
  <si>
    <t>TE Connectivity</t>
  </si>
  <si>
    <t>TDY</t>
  </si>
  <si>
    <t>Teledyne Technologies</t>
  </si>
  <si>
    <t xml:space="preserve">TFX </t>
  </si>
  <si>
    <t>Teleflex</t>
  </si>
  <si>
    <t xml:space="preserve">TER </t>
  </si>
  <si>
    <t xml:space="preserve">Teradyne </t>
  </si>
  <si>
    <t>TSLA</t>
  </si>
  <si>
    <t>Tesla, Inc.</t>
  </si>
  <si>
    <t xml:space="preserve">TXN </t>
  </si>
  <si>
    <t>Texas Instruments</t>
  </si>
  <si>
    <t xml:space="preserve">TXT </t>
  </si>
  <si>
    <t>Textron</t>
  </si>
  <si>
    <t xml:space="preserve">TMO </t>
  </si>
  <si>
    <t>Thermo Fisher Scientific</t>
  </si>
  <si>
    <t xml:space="preserve">TJX </t>
  </si>
  <si>
    <t>TJX Companies</t>
  </si>
  <si>
    <t xml:space="preserve">TSCO </t>
  </si>
  <si>
    <t>Tractor Supply</t>
  </si>
  <si>
    <t xml:space="preserve">TT </t>
  </si>
  <si>
    <t>Trane Technologies</t>
  </si>
  <si>
    <t xml:space="preserve">TDG </t>
  </si>
  <si>
    <t>TransDigm Group</t>
  </si>
  <si>
    <t xml:space="preserve">TRV </t>
  </si>
  <si>
    <t>Travelers Companies (The)</t>
  </si>
  <si>
    <t xml:space="preserve">TRMB </t>
  </si>
  <si>
    <t>Trimble Inc.</t>
  </si>
  <si>
    <t xml:space="preserve">TFC </t>
  </si>
  <si>
    <t>Truist</t>
  </si>
  <si>
    <t xml:space="preserve">TYL </t>
  </si>
  <si>
    <t>Tyler Technologies</t>
  </si>
  <si>
    <t xml:space="preserve">TSN </t>
  </si>
  <si>
    <t>Tyson Foods</t>
  </si>
  <si>
    <t xml:space="preserve">USB </t>
  </si>
  <si>
    <t>U.S. Bank</t>
  </si>
  <si>
    <t xml:space="preserve">UBER </t>
  </si>
  <si>
    <t>Uber</t>
  </si>
  <si>
    <t>Passenger Ground Transportation</t>
  </si>
  <si>
    <t xml:space="preserve">UDR </t>
  </si>
  <si>
    <t>UDR, Inc.</t>
  </si>
  <si>
    <t>ULTA</t>
  </si>
  <si>
    <t>Ulta Beauty</t>
  </si>
  <si>
    <t xml:space="preserve">UNP </t>
  </si>
  <si>
    <t>Union Pacific Corporation</t>
  </si>
  <si>
    <t xml:space="preserve">UAL </t>
  </si>
  <si>
    <t>United Airlines Holdings</t>
  </si>
  <si>
    <t xml:space="preserve">UPS </t>
  </si>
  <si>
    <t>United Parcel Service</t>
  </si>
  <si>
    <t xml:space="preserve">URI </t>
  </si>
  <si>
    <t>United Rentals</t>
  </si>
  <si>
    <t xml:space="preserve">UNH </t>
  </si>
  <si>
    <t>UnitedHealth Group</t>
  </si>
  <si>
    <t xml:space="preserve">UHS </t>
  </si>
  <si>
    <t>Universal Health Services</t>
  </si>
  <si>
    <t xml:space="preserve">VLO </t>
  </si>
  <si>
    <t xml:space="preserve">Valero Energy </t>
  </si>
  <si>
    <t xml:space="preserve">VTR </t>
  </si>
  <si>
    <t>Ventas</t>
  </si>
  <si>
    <t xml:space="preserve">VLTO </t>
  </si>
  <si>
    <t xml:space="preserve">Veralto </t>
  </si>
  <si>
    <t xml:space="preserve">VRSN </t>
  </si>
  <si>
    <t>Verisign</t>
  </si>
  <si>
    <t xml:space="preserve">VRSK </t>
  </si>
  <si>
    <t>Verisk</t>
  </si>
  <si>
    <t xml:space="preserve">VZ </t>
  </si>
  <si>
    <t>Verizon</t>
  </si>
  <si>
    <t>Integrated Communication Services</t>
  </si>
  <si>
    <t xml:space="preserve">VRTX </t>
  </si>
  <si>
    <t>Vertex Pharmaceuticals</t>
  </si>
  <si>
    <t>VFC</t>
  </si>
  <si>
    <t>VF Corporation</t>
  </si>
  <si>
    <t>VTRS</t>
  </si>
  <si>
    <t>Viatris</t>
  </si>
  <si>
    <t xml:space="preserve">VICI </t>
  </si>
  <si>
    <t>Vici Properties</t>
  </si>
  <si>
    <t xml:space="preserve">V </t>
  </si>
  <si>
    <t>Visa Inc.</t>
  </si>
  <si>
    <t xml:space="preserve">VMC </t>
  </si>
  <si>
    <t>Vulcan Materials Company</t>
  </si>
  <si>
    <t xml:space="preserve">WRB </t>
  </si>
  <si>
    <t>Berkley</t>
  </si>
  <si>
    <t xml:space="preserve">WAB </t>
  </si>
  <si>
    <t>Wabtec</t>
  </si>
  <si>
    <t xml:space="preserve">WBA </t>
  </si>
  <si>
    <t>Walgreens Boots Alliance</t>
  </si>
  <si>
    <t>Drug Retail</t>
  </si>
  <si>
    <t xml:space="preserve">WMT </t>
  </si>
  <si>
    <t>Walmart</t>
  </si>
  <si>
    <t xml:space="preserve">DIS </t>
  </si>
  <si>
    <t>Walt Disney</t>
  </si>
  <si>
    <t xml:space="preserve">WBD </t>
  </si>
  <si>
    <t>Warner Bros. Discovery</t>
  </si>
  <si>
    <t xml:space="preserve">WM </t>
  </si>
  <si>
    <t>Waste Management</t>
  </si>
  <si>
    <t>WAT</t>
  </si>
  <si>
    <t>Waters Corporation</t>
  </si>
  <si>
    <t xml:space="preserve">WEC </t>
  </si>
  <si>
    <t>WEC Energy Group</t>
  </si>
  <si>
    <t xml:space="preserve">WFC </t>
  </si>
  <si>
    <t>Wells Fargo</t>
  </si>
  <si>
    <t xml:space="preserve">WELL </t>
  </si>
  <si>
    <t>Welltower</t>
  </si>
  <si>
    <t xml:space="preserve">WST </t>
  </si>
  <si>
    <t>West Pharmaceutical Services</t>
  </si>
  <si>
    <t xml:space="preserve">WDC </t>
  </si>
  <si>
    <t>Western Digital</t>
  </si>
  <si>
    <t xml:space="preserve">WRK </t>
  </si>
  <si>
    <t>WestRock</t>
  </si>
  <si>
    <t xml:space="preserve">WY </t>
  </si>
  <si>
    <t>Weyerhaeuser</t>
  </si>
  <si>
    <t>Timber REITs</t>
  </si>
  <si>
    <t xml:space="preserve">WMB </t>
  </si>
  <si>
    <t>Williams Companies</t>
  </si>
  <si>
    <t xml:space="preserve">WTW </t>
  </si>
  <si>
    <t>Willis Towers Watson</t>
  </si>
  <si>
    <t xml:space="preserve">GWW </t>
  </si>
  <si>
    <t>W.W. Grainger</t>
  </si>
  <si>
    <t xml:space="preserve">WYNN </t>
  </si>
  <si>
    <t>Wynn Resorts</t>
  </si>
  <si>
    <t xml:space="preserve">XEL </t>
  </si>
  <si>
    <t>Xcel Energy</t>
  </si>
  <si>
    <t xml:space="preserve">XYL </t>
  </si>
  <si>
    <t>Xylem Inc.</t>
  </si>
  <si>
    <t>YUM</t>
  </si>
  <si>
    <t>Yum! Brands</t>
  </si>
  <si>
    <t xml:space="preserve">ZBRA </t>
  </si>
  <si>
    <t>Zebra Technologies</t>
  </si>
  <si>
    <t xml:space="preserve">ZBH </t>
  </si>
  <si>
    <t>Zimmer Biomet</t>
  </si>
  <si>
    <t xml:space="preserve">ZTS </t>
  </si>
  <si>
    <t>Zoetis</t>
  </si>
  <si>
    <t>Company1</t>
  </si>
  <si>
    <t>CODE1</t>
  </si>
  <si>
    <t>Company 2</t>
  </si>
  <si>
    <t>CODE2</t>
  </si>
  <si>
    <t>Company3</t>
  </si>
  <si>
    <t>Company4</t>
  </si>
  <si>
    <t>Company5</t>
  </si>
  <si>
    <t>Company6</t>
  </si>
  <si>
    <t>Company7</t>
  </si>
  <si>
    <t>Company8</t>
  </si>
  <si>
    <t>Company9</t>
  </si>
  <si>
    <t>Company10</t>
  </si>
  <si>
    <t>CODE3</t>
  </si>
  <si>
    <t>CODE4</t>
  </si>
  <si>
    <t>CODE5</t>
  </si>
  <si>
    <t>CODE6</t>
  </si>
  <si>
    <t>CODE7</t>
  </si>
  <si>
    <t>CODE8</t>
  </si>
  <si>
    <t>CODE9</t>
  </si>
  <si>
    <t>CODE10</t>
  </si>
  <si>
    <t>PRICE DATA: 10 STOCKS AND S&amp;P 500, Mar2023 - Feb2024
S&amp;P 500 represented by Vanguard's Index 500 fund (includes dividends)</t>
  </si>
  <si>
    <t>Company2</t>
  </si>
  <si>
    <t>Code</t>
  </si>
  <si>
    <t>PG</t>
  </si>
  <si>
    <t>KO</t>
  </si>
  <si>
    <t>VZ</t>
  </si>
  <si>
    <t>WMT</t>
  </si>
  <si>
    <t xml:space="preserve">stock </t>
  </si>
  <si>
    <t>beta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</si>
  <si>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</si>
  <si>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</si>
  <si>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</si>
  <si>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</si>
  <si>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</si>
  <si>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</si>
  <si>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</si>
  <si>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</si>
  <si>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</si>
  <si>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</si>
  <si>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</si>
  <si>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</si>
  <si>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</si>
  <si>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</si>
  <si>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</si>
  <si>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</si>
  <si>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</si>
  <si>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</si>
  <si>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</si>
  <si>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</si>
  <si>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</si>
  <si>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</si>
  <si>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</si>
  <si>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</si>
  <si>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</si>
  <si>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mean monthly return</t>
  </si>
  <si>
    <t>WEIGHTS</t>
  </si>
  <si>
    <t>STOCK</t>
  </si>
  <si>
    <t>SUM OF WEIGHTS</t>
  </si>
  <si>
    <t>PORTFOLIO RETURN</t>
  </si>
  <si>
    <t>PORTFOLIO VARIANCE</t>
  </si>
  <si>
    <t>STD DEV</t>
  </si>
  <si>
    <t>SHARPIE RATIO</t>
  </si>
  <si>
    <t>MEAN MONTHLY RETURNS</t>
  </si>
  <si>
    <t>efficient portfolio return</t>
  </si>
  <si>
    <t>Return</t>
  </si>
  <si>
    <t>eff port return</t>
  </si>
  <si>
    <t>efficient stock</t>
  </si>
  <si>
    <t xml:space="preserve"> mean monthly return</t>
  </si>
  <si>
    <t>Regressing individual assets on  betas with respect to the EP
 efficient portfolio.</t>
  </si>
  <si>
    <t>Portfolio</t>
  </si>
  <si>
    <t>Risk</t>
  </si>
  <si>
    <t>Port1</t>
  </si>
  <si>
    <t>Port2</t>
  </si>
  <si>
    <t>Port3</t>
  </si>
  <si>
    <t>Port4</t>
  </si>
  <si>
    <t>Port5</t>
  </si>
  <si>
    <t>Port6</t>
  </si>
  <si>
    <t>Port7</t>
  </si>
  <si>
    <t>Port8</t>
  </si>
  <si>
    <t>Port9</t>
  </si>
  <si>
    <t>Port10</t>
  </si>
  <si>
    <t>Port11</t>
  </si>
  <si>
    <t>Port12</t>
  </si>
  <si>
    <t>Port13</t>
  </si>
  <si>
    <t>Port14</t>
  </si>
  <si>
    <t>Port15</t>
  </si>
  <si>
    <t>Port16</t>
  </si>
  <si>
    <t>Port17</t>
  </si>
  <si>
    <t>Port18</t>
  </si>
  <si>
    <t>Port19</t>
  </si>
  <si>
    <t>Port20</t>
  </si>
  <si>
    <t>Port21</t>
  </si>
  <si>
    <t>Port22</t>
  </si>
  <si>
    <t>Port23</t>
  </si>
  <si>
    <t>Port24</t>
  </si>
  <si>
    <t>Port25</t>
  </si>
  <si>
    <t>Port26</t>
  </si>
  <si>
    <t>Port27</t>
  </si>
  <si>
    <t>Port28</t>
  </si>
  <si>
    <t>Port29</t>
  </si>
  <si>
    <t>Port30</t>
  </si>
  <si>
    <t>Target Return</t>
  </si>
  <si>
    <t>Portfolio Return</t>
  </si>
  <si>
    <t>Portfolio Risk</t>
  </si>
  <si>
    <t>Constant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</si>
  <si>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</si>
  <si>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</si>
  <si>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</si>
  <si>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</si>
  <si>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</si>
  <si>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</si>
  <si>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</si>
  <si>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</si>
  <si>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</si>
  <si>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</si>
  <si>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Sum of Weights</t>
  </si>
  <si>
    <t>Portfolio Mean</t>
  </si>
  <si>
    <t>Portfolio Sigma</t>
  </si>
  <si>
    <t>Theta (Sharpe)</t>
  </si>
  <si>
    <t>Target µ</t>
  </si>
  <si>
    <t>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</si>
</sst>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Arial Unicode MS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2A47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10" borderId="17" applyNumberFormat="0" applyAlignment="0" applyProtection="0"/>
  </cellStyleXfs>
  <cellXfs count="66">
    <xf numFmtId="0" fontId="0" fillId="0" borderId="0" xfId="0"/>
    <xf numFmtId="1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  <xf numFmtId="2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7" fontId="0" fillId="0" borderId="1" xfId="0" applyNumberFormat="1" applyBorder="1" applyAlignment="1">
      <alignment horizontal="center"/>
    </xf>
    <xf numFmtId="17" fontId="0" fillId="0" borderId="3" xfId="0" applyNumberFormat="1" applyBorder="1" applyAlignment="1">
      <alignment horizontal="center"/>
    </xf>
    <xf numFmtId="17" fontId="0" fillId="0" borderId="5" xfId="0" applyNumberForma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17" fontId="0" fillId="0" borderId="0" xfId="0" applyNumberFormat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0" borderId="14" xfId="0" applyBorder="1"/>
    <xf numFmtId="0" fontId="2" fillId="7" borderId="0" xfId="0" applyFont="1" applyFill="1" applyAlignment="1">
      <alignment horizontal="center" wrapText="1"/>
    </xf>
    <xf numFmtId="0" fontId="2" fillId="7" borderId="1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2" fillId="6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/>
    </xf>
    <xf numFmtId="0" fontId="0" fillId="0" borderId="6" xfId="0" applyBorder="1"/>
    <xf numFmtId="0" fontId="2" fillId="6" borderId="1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0" fillId="0" borderId="15" xfId="0" applyBorder="1"/>
    <xf numFmtId="0" fontId="4" fillId="0" borderId="16" xfId="0" applyFont="1" applyBorder="1" applyAlignment="1">
      <alignment horizontal="center"/>
    </xf>
    <xf numFmtId="0" fontId="4" fillId="0" borderId="16" xfId="0" applyFont="1" applyBorder="1" applyAlignment="1">
      <alignment horizontal="centerContinuous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5" fillId="10" borderId="17" xfId="1"/>
    <xf numFmtId="0" fontId="6" fillId="0" borderId="0" xfId="0" applyFont="1" applyAlignment="1">
      <alignment vertical="center" wrapText="1"/>
    </xf>
    <xf numFmtId="0" fontId="0" fillId="0" borderId="18" xfId="0" applyBorder="1" applyAlignment="1">
      <alignment horizontal="center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wrapText="1"/>
    </xf>
    <xf numFmtId="0" fontId="1" fillId="9" borderId="12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 wrapText="1"/>
    </xf>
    <xf numFmtId="0" fontId="1" fillId="8" borderId="11" xfId="0" applyFont="1" applyFill="1" applyBorder="1" applyAlignment="1">
      <alignment horizontal="center" wrapText="1"/>
    </xf>
    <xf numFmtId="0" fontId="1" fillId="8" borderId="12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2A476A"/>
      <color rgb="FF554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/>
              <a:t>Risk-Return Tradeoff Curve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'Efficient Solver Portfolio'!$C$35:$C$54</c:f>
              <c:numCache>
                <c:formatCode>General</c:formatCode>
                <c:ptCount val="20"/>
                <c:pt idx="0">
                  <c:v>2.8574991190189653E-2</c:v>
                </c:pt>
                <c:pt idx="1">
                  <c:v>3.0886631740865117E-2</c:v>
                </c:pt>
                <c:pt idx="2">
                  <c:v>3.4027659646030085E-2</c:v>
                </c:pt>
                <c:pt idx="3">
                  <c:v>4.0306776603247232E-2</c:v>
                </c:pt>
                <c:pt idx="4">
                  <c:v>4.4917077330572118E-2</c:v>
                </c:pt>
                <c:pt idx="5">
                  <c:v>4.4917077330572118E-2</c:v>
                </c:pt>
                <c:pt idx="6">
                  <c:v>4.4917077330572118E-2</c:v>
                </c:pt>
                <c:pt idx="7">
                  <c:v>4.4917077330572118E-2</c:v>
                </c:pt>
                <c:pt idx="8">
                  <c:v>4.4917077330572118E-2</c:v>
                </c:pt>
                <c:pt idx="9">
                  <c:v>4.4917077330572118E-2</c:v>
                </c:pt>
                <c:pt idx="10">
                  <c:v>4.4917077330572118E-2</c:v>
                </c:pt>
                <c:pt idx="11">
                  <c:v>4.4917077330572118E-2</c:v>
                </c:pt>
                <c:pt idx="12">
                  <c:v>4.4917077330572118E-2</c:v>
                </c:pt>
                <c:pt idx="13">
                  <c:v>4.4917077330572118E-2</c:v>
                </c:pt>
                <c:pt idx="14">
                  <c:v>5.6436785202888765E-2</c:v>
                </c:pt>
                <c:pt idx="15">
                  <c:v>5.6436785202888765E-2</c:v>
                </c:pt>
                <c:pt idx="16">
                  <c:v>5.6436785202888765E-2</c:v>
                </c:pt>
                <c:pt idx="17">
                  <c:v>5.6436785202888765E-2</c:v>
                </c:pt>
                <c:pt idx="18">
                  <c:v>5.6436785202888765E-2</c:v>
                </c:pt>
                <c:pt idx="19">
                  <c:v>5.6436785202888765E-2</c:v>
                </c:pt>
              </c:numCache>
            </c:numRef>
          </c:xVal>
          <c:yVal>
            <c:numRef>
              <c:f>'Efficient Solver Portfolio'!$D$35:$D$54</c:f>
              <c:numCache>
                <c:formatCode>General</c:formatCode>
                <c:ptCount val="20"/>
                <c:pt idx="0">
                  <c:v>1.1445656792523694E-2</c:v>
                </c:pt>
                <c:pt idx="1">
                  <c:v>1.2527616528635065E-2</c:v>
                </c:pt>
                <c:pt idx="2">
                  <c:v>1.3797691139339935E-2</c:v>
                </c:pt>
                <c:pt idx="3">
                  <c:v>1.5960260510850855E-2</c:v>
                </c:pt>
                <c:pt idx="4">
                  <c:v>1.7370335448288213E-2</c:v>
                </c:pt>
                <c:pt idx="5">
                  <c:v>1.7370335448288213E-2</c:v>
                </c:pt>
                <c:pt idx="6">
                  <c:v>1.7370335448288213E-2</c:v>
                </c:pt>
                <c:pt idx="7">
                  <c:v>1.7370335448288213E-2</c:v>
                </c:pt>
                <c:pt idx="8">
                  <c:v>1.7370335448288213E-2</c:v>
                </c:pt>
                <c:pt idx="9">
                  <c:v>1.7370335448288213E-2</c:v>
                </c:pt>
                <c:pt idx="10">
                  <c:v>1.7370335448288213E-2</c:v>
                </c:pt>
                <c:pt idx="11">
                  <c:v>1.7370335448288213E-2</c:v>
                </c:pt>
                <c:pt idx="12">
                  <c:v>1.7370335448288213E-2</c:v>
                </c:pt>
                <c:pt idx="13">
                  <c:v>1.7370335448288213E-2</c:v>
                </c:pt>
                <c:pt idx="14">
                  <c:v>1.6129155686912151E-2</c:v>
                </c:pt>
                <c:pt idx="15">
                  <c:v>1.6129155686912151E-2</c:v>
                </c:pt>
                <c:pt idx="16">
                  <c:v>1.6129155686912151E-2</c:v>
                </c:pt>
                <c:pt idx="17">
                  <c:v>1.6129155686912151E-2</c:v>
                </c:pt>
                <c:pt idx="18">
                  <c:v>1.6129155686912151E-2</c:v>
                </c:pt>
                <c:pt idx="19">
                  <c:v>1.6129155686912151E-2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A3-41FC-8F82-D8FE8EAB7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964207"/>
        <c:axId val="1989954607"/>
      </c:scatterChart>
      <c:valAx>
        <c:axId val="198996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954607"/>
        <c:crosses val="autoZero"/>
        <c:crossBetween val="midCat"/>
      </c:valAx>
      <c:valAx>
        <c:axId val="198995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96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calculations!$C$44</c:f>
              <c:strCache>
                <c:ptCount val="1"/>
                <c:pt idx="0">
                  <c:v>mean monthly return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calculations!$B$45:$B$54</c:f>
              <c:numCache>
                <c:formatCode>General</c:formatCode>
                <c:ptCount val="10"/>
                <c:pt idx="0">
                  <c:v>1.0538314928175565</c:v>
                </c:pt>
                <c:pt idx="1">
                  <c:v>1.1032813025182457</c:v>
                </c:pt>
                <c:pt idx="2">
                  <c:v>1.0043873453788443</c:v>
                </c:pt>
                <c:pt idx="3">
                  <c:v>1.0056562077975073</c:v>
                </c:pt>
                <c:pt idx="4">
                  <c:v>1.0669072859891302</c:v>
                </c:pt>
                <c:pt idx="5">
                  <c:v>1.0044944741595347</c:v>
                </c:pt>
                <c:pt idx="6">
                  <c:v>1.0038806397951485</c:v>
                </c:pt>
                <c:pt idx="7">
                  <c:v>1.005998630867212</c:v>
                </c:pt>
                <c:pt idx="8">
                  <c:v>0.81988739968632141</c:v>
                </c:pt>
                <c:pt idx="9">
                  <c:v>1.440624420903704</c:v>
                </c:pt>
              </c:numCache>
            </c:numRef>
          </c:xVal>
          <c:yVal>
            <c:numRef>
              <c:f>calculations!$C$45:$C$54</c:f>
              <c:numCache>
                <c:formatCode>General</c:formatCode>
                <c:ptCount val="10"/>
                <c:pt idx="0">
                  <c:v>2.2812152336797249E-2</c:v>
                </c:pt>
                <c:pt idx="1">
                  <c:v>2.4960993977306001E-2</c:v>
                </c:pt>
                <c:pt idx="2">
                  <c:v>1.3101576919990162E-2</c:v>
                </c:pt>
                <c:pt idx="3">
                  <c:v>1.2270494180201562E-2</c:v>
                </c:pt>
                <c:pt idx="4">
                  <c:v>6.065052291885943E-3</c:v>
                </c:pt>
                <c:pt idx="5">
                  <c:v>-2.8810741371801544E-3</c:v>
                </c:pt>
                <c:pt idx="6">
                  <c:v>-6.089087330432604E-3</c:v>
                </c:pt>
                <c:pt idx="7">
                  <c:v>-1.0188889718732454E-3</c:v>
                </c:pt>
                <c:pt idx="8">
                  <c:v>1.9456366296445683E-2</c:v>
                </c:pt>
                <c:pt idx="9">
                  <c:v>2.5519757036597895E-2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9-4E0C-9133-30C95790A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439200"/>
        <c:axId val="1834435840"/>
      </c:scatterChart>
      <c:valAx>
        <c:axId val="183443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435840"/>
        <c:crosses val="autoZero"/>
        <c:crossBetween val="midCat"/>
      </c:valAx>
      <c:valAx>
        <c:axId val="183443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43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656309</xdr:colOff>
      <xdr:row>56</xdr:row>
      <xdr:rowOff>115866</xdr:rowOff>
    </xdr:from>
    <xdr:to>
      <xdr:col>21</xdr:col>
      <xdr:colOff>146537</xdr:colOff>
      <xdr:row>82</xdr:row>
      <xdr:rowOff>131884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40BBEE-5658-1D67-E1C2-18AAC9A8D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357187</xdr:colOff>
      <xdr:row>41</xdr:row>
      <xdr:rowOff>180974</xdr:rowOff>
    </xdr:from>
    <xdr:to>
      <xdr:col>15</xdr:col>
      <xdr:colOff>495299</xdr:colOff>
      <xdr:row>51</xdr:row>
      <xdr:rowOff>89296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31B921-0AF0-92DC-2683-594A27C670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8C187-E6F0-F043-8080-E36F5F6D30DE}">
  <sheetPr codeName="Sheet1">
    <tabColor theme="4" tint="-0.499984740745262"/>
  </sheetPr>
  <dimension ref="A1:D501"/>
  <sheetViews>
    <sheetView zoomScale="84" workbookViewId="0">
      <selection activeCell="G25" sqref="G25"/>
    </sheetView>
  </sheetViews>
  <sheetFormatPr defaultColWidth="11.42578125" defaultRowHeight="15" x14ac:dyDescent="0.25"/>
  <cols>
    <col min="1" max="1" width="11.42578125" customWidth="1"/>
    <col min="2" max="2" width="29.42578125" customWidth="1"/>
    <col min="3" max="3" width="24.140625" bestFit="1" customWidth="1"/>
    <col min="4" max="4" width="47.28515625" customWidth="1"/>
  </cols>
  <sheetData>
    <row r="1" spans="1:4" x14ac:dyDescent="0.25">
      <c r="A1" s="15" t="s">
        <v>1166</v>
      </c>
      <c r="B1" s="16" t="s">
        <v>35</v>
      </c>
      <c r="C1" s="16" t="s">
        <v>36</v>
      </c>
      <c r="D1" s="17" t="s">
        <v>40</v>
      </c>
    </row>
    <row r="2" spans="1:4" x14ac:dyDescent="0.25">
      <c r="A2" s="9" t="s">
        <v>37</v>
      </c>
      <c r="B2" s="9" t="s">
        <v>38</v>
      </c>
      <c r="C2" s="9" t="s">
        <v>39</v>
      </c>
      <c r="D2" s="6" t="s">
        <v>41</v>
      </c>
    </row>
    <row r="3" spans="1:4" x14ac:dyDescent="0.25">
      <c r="A3" s="10" t="s">
        <v>42</v>
      </c>
      <c r="B3" s="10" t="s">
        <v>43</v>
      </c>
      <c r="C3" s="10" t="s">
        <v>39</v>
      </c>
      <c r="D3" s="7" t="s">
        <v>44</v>
      </c>
    </row>
    <row r="4" spans="1:4" x14ac:dyDescent="0.25">
      <c r="A4" s="10" t="s">
        <v>45</v>
      </c>
      <c r="B4" s="10" t="s">
        <v>46</v>
      </c>
      <c r="C4" s="10" t="s">
        <v>47</v>
      </c>
      <c r="D4" s="7" t="s">
        <v>48</v>
      </c>
    </row>
    <row r="5" spans="1:4" x14ac:dyDescent="0.25">
      <c r="A5" s="10" t="s">
        <v>49</v>
      </c>
      <c r="B5" s="10" t="s">
        <v>50</v>
      </c>
      <c r="C5" s="10" t="s">
        <v>47</v>
      </c>
      <c r="D5" s="7" t="s">
        <v>51</v>
      </c>
    </row>
    <row r="6" spans="1:4" x14ac:dyDescent="0.25">
      <c r="A6" s="10" t="s">
        <v>52</v>
      </c>
      <c r="B6" s="10" t="s">
        <v>53</v>
      </c>
      <c r="C6" s="10" t="s">
        <v>54</v>
      </c>
      <c r="D6" s="7" t="s">
        <v>55</v>
      </c>
    </row>
    <row r="7" spans="1:4" x14ac:dyDescent="0.25">
      <c r="A7" s="10" t="s">
        <v>56</v>
      </c>
      <c r="B7" s="10" t="s">
        <v>57</v>
      </c>
      <c r="C7" s="10" t="s">
        <v>54</v>
      </c>
      <c r="D7" s="7" t="s">
        <v>58</v>
      </c>
    </row>
    <row r="8" spans="1:4" x14ac:dyDescent="0.25">
      <c r="A8" s="10" t="s">
        <v>59</v>
      </c>
      <c r="B8" s="10" t="s">
        <v>60</v>
      </c>
      <c r="C8" s="10" t="s">
        <v>54</v>
      </c>
      <c r="D8" s="7" t="s">
        <v>61</v>
      </c>
    </row>
    <row r="9" spans="1:4" x14ac:dyDescent="0.25">
      <c r="A9" s="10" t="s">
        <v>62</v>
      </c>
      <c r="B9" s="10" t="s">
        <v>63</v>
      </c>
      <c r="C9" s="10" t="s">
        <v>64</v>
      </c>
      <c r="D9" s="7" t="s">
        <v>65</v>
      </c>
    </row>
    <row r="10" spans="1:4" x14ac:dyDescent="0.25">
      <c r="A10" s="10" t="s">
        <v>66</v>
      </c>
      <c r="B10" s="10" t="s">
        <v>67</v>
      </c>
      <c r="C10" s="10" t="s">
        <v>68</v>
      </c>
      <c r="D10" s="7" t="s">
        <v>69</v>
      </c>
    </row>
    <row r="11" spans="1:4" x14ac:dyDescent="0.25">
      <c r="A11" s="10" t="s">
        <v>70</v>
      </c>
      <c r="B11" s="10" t="s">
        <v>71</v>
      </c>
      <c r="C11" s="10" t="s">
        <v>47</v>
      </c>
      <c r="D11" s="7" t="s">
        <v>72</v>
      </c>
    </row>
    <row r="12" spans="1:4" x14ac:dyDescent="0.25">
      <c r="A12" s="10" t="s">
        <v>73</v>
      </c>
      <c r="B12" s="10" t="s">
        <v>74</v>
      </c>
      <c r="C12" s="10" t="s">
        <v>75</v>
      </c>
      <c r="D12" s="7" t="s">
        <v>76</v>
      </c>
    </row>
    <row r="13" spans="1:4" x14ac:dyDescent="0.25">
      <c r="A13" s="10" t="s">
        <v>77</v>
      </c>
      <c r="B13" s="10" t="s">
        <v>78</v>
      </c>
      <c r="C13" s="10" t="s">
        <v>79</v>
      </c>
      <c r="D13" s="7" t="s">
        <v>80</v>
      </c>
    </row>
    <row r="14" spans="1:4" x14ac:dyDescent="0.25">
      <c r="A14" s="10" t="s">
        <v>81</v>
      </c>
      <c r="B14" s="10" t="s">
        <v>82</v>
      </c>
      <c r="C14" s="10" t="s">
        <v>54</v>
      </c>
      <c r="D14" s="7" t="s">
        <v>83</v>
      </c>
    </row>
    <row r="15" spans="1:4" x14ac:dyDescent="0.25">
      <c r="A15" s="10" t="s">
        <v>84</v>
      </c>
      <c r="B15" s="10" t="s">
        <v>85</v>
      </c>
      <c r="C15" s="10" t="s">
        <v>75</v>
      </c>
      <c r="D15" s="7" t="s">
        <v>86</v>
      </c>
    </row>
    <row r="16" spans="1:4" x14ac:dyDescent="0.25">
      <c r="A16" s="10" t="s">
        <v>87</v>
      </c>
      <c r="B16" s="10" t="s">
        <v>88</v>
      </c>
      <c r="C16" s="10" t="s">
        <v>89</v>
      </c>
      <c r="D16" s="7" t="s">
        <v>90</v>
      </c>
    </row>
    <row r="17" spans="1:4" x14ac:dyDescent="0.25">
      <c r="A17" s="10" t="s">
        <v>91</v>
      </c>
      <c r="B17" s="10" t="s">
        <v>92</v>
      </c>
      <c r="C17" s="10" t="s">
        <v>47</v>
      </c>
      <c r="D17" s="7" t="s">
        <v>93</v>
      </c>
    </row>
    <row r="18" spans="1:4" x14ac:dyDescent="0.25">
      <c r="A18" s="10" t="s">
        <v>94</v>
      </c>
      <c r="B18" s="10" t="s">
        <v>95</v>
      </c>
      <c r="C18" s="10" t="s">
        <v>39</v>
      </c>
      <c r="D18" s="7" t="s">
        <v>44</v>
      </c>
    </row>
    <row r="19" spans="1:4" x14ac:dyDescent="0.25">
      <c r="A19" s="10" t="s">
        <v>97</v>
      </c>
      <c r="B19" s="10" t="s">
        <v>96</v>
      </c>
      <c r="C19" s="10" t="s">
        <v>64</v>
      </c>
      <c r="D19" s="7" t="s">
        <v>98</v>
      </c>
    </row>
    <row r="20" spans="1:4" x14ac:dyDescent="0.25">
      <c r="A20" s="10" t="s">
        <v>99</v>
      </c>
      <c r="B20" s="10" t="s">
        <v>100</v>
      </c>
      <c r="C20" s="10" t="s">
        <v>68</v>
      </c>
      <c r="D20" s="7" t="s">
        <v>101</v>
      </c>
    </row>
    <row r="21" spans="1:4" x14ac:dyDescent="0.25">
      <c r="A21" s="10" t="s">
        <v>102</v>
      </c>
      <c r="B21" s="10" t="s">
        <v>103</v>
      </c>
      <c r="C21" s="10" t="s">
        <v>104</v>
      </c>
      <c r="D21" s="7" t="s">
        <v>105</v>
      </c>
    </row>
    <row r="22" spans="1:4" x14ac:dyDescent="0.25">
      <c r="A22" s="10" t="s">
        <v>106</v>
      </c>
      <c r="B22" s="10" t="s">
        <v>103</v>
      </c>
      <c r="C22" s="10" t="s">
        <v>104</v>
      </c>
      <c r="D22" s="7" t="s">
        <v>105</v>
      </c>
    </row>
    <row r="23" spans="1:4" x14ac:dyDescent="0.25">
      <c r="A23" s="10" t="s">
        <v>107</v>
      </c>
      <c r="B23" s="10" t="s">
        <v>108</v>
      </c>
      <c r="C23" s="10" t="s">
        <v>109</v>
      </c>
      <c r="D23" s="7" t="s">
        <v>110</v>
      </c>
    </row>
    <row r="24" spans="1:4" x14ac:dyDescent="0.25">
      <c r="A24" s="10" t="s">
        <v>24</v>
      </c>
      <c r="B24" s="10" t="s">
        <v>23</v>
      </c>
      <c r="C24" s="10" t="s">
        <v>79</v>
      </c>
      <c r="D24" s="7" t="s">
        <v>111</v>
      </c>
    </row>
    <row r="25" spans="1:4" x14ac:dyDescent="0.25">
      <c r="A25" s="10" t="s">
        <v>112</v>
      </c>
      <c r="B25" s="10" t="s">
        <v>113</v>
      </c>
      <c r="C25" s="10" t="s">
        <v>75</v>
      </c>
      <c r="D25" s="7" t="s">
        <v>114</v>
      </c>
    </row>
    <row r="26" spans="1:4" x14ac:dyDescent="0.25">
      <c r="A26" s="10" t="s">
        <v>115</v>
      </c>
      <c r="B26" s="10" t="s">
        <v>116</v>
      </c>
      <c r="C26" s="10" t="s">
        <v>64</v>
      </c>
      <c r="D26" s="7" t="s">
        <v>117</v>
      </c>
    </row>
    <row r="27" spans="1:4" x14ac:dyDescent="0.25">
      <c r="A27" s="10" t="s">
        <v>118</v>
      </c>
      <c r="B27" s="10" t="s">
        <v>121</v>
      </c>
      <c r="C27" s="10" t="s">
        <v>39</v>
      </c>
      <c r="D27" s="7" t="s">
        <v>122</v>
      </c>
    </row>
    <row r="28" spans="1:4" x14ac:dyDescent="0.25">
      <c r="A28" s="10" t="s">
        <v>120</v>
      </c>
      <c r="B28" s="10" t="s">
        <v>119</v>
      </c>
      <c r="C28" s="10" t="s">
        <v>64</v>
      </c>
      <c r="D28" s="7" t="s">
        <v>98</v>
      </c>
    </row>
    <row r="29" spans="1:4" x14ac:dyDescent="0.25">
      <c r="A29" s="10" t="s">
        <v>123</v>
      </c>
      <c r="B29" s="10" t="s">
        <v>124</v>
      </c>
      <c r="C29" s="10" t="s">
        <v>68</v>
      </c>
      <c r="D29" s="7" t="s">
        <v>125</v>
      </c>
    </row>
    <row r="30" spans="1:4" x14ac:dyDescent="0.25">
      <c r="A30" s="10" t="s">
        <v>126</v>
      </c>
      <c r="B30" s="10" t="s">
        <v>127</v>
      </c>
      <c r="C30" s="10" t="s">
        <v>68</v>
      </c>
      <c r="D30" s="7" t="s">
        <v>128</v>
      </c>
    </row>
    <row r="31" spans="1:4" x14ac:dyDescent="0.25">
      <c r="A31" s="10" t="s">
        <v>129</v>
      </c>
      <c r="B31" s="10" t="s">
        <v>130</v>
      </c>
      <c r="C31" s="10" t="s">
        <v>89</v>
      </c>
      <c r="D31" s="7" t="s">
        <v>131</v>
      </c>
    </row>
    <row r="32" spans="1:4" x14ac:dyDescent="0.25">
      <c r="A32" s="10" t="s">
        <v>132</v>
      </c>
      <c r="B32" s="10" t="s">
        <v>133</v>
      </c>
      <c r="C32" s="10" t="s">
        <v>64</v>
      </c>
      <c r="D32" s="7" t="s">
        <v>134</v>
      </c>
    </row>
    <row r="33" spans="1:4" x14ac:dyDescent="0.25">
      <c r="A33" s="10" t="s">
        <v>135</v>
      </c>
      <c r="B33" s="10" t="s">
        <v>136</v>
      </c>
      <c r="C33" s="10" t="s">
        <v>68</v>
      </c>
      <c r="D33" s="7" t="s">
        <v>137</v>
      </c>
    </row>
    <row r="34" spans="1:4" x14ac:dyDescent="0.25">
      <c r="A34" s="10" t="s">
        <v>138</v>
      </c>
      <c r="B34" s="10" t="s">
        <v>139</v>
      </c>
      <c r="C34" s="10" t="s">
        <v>39</v>
      </c>
      <c r="D34" s="7" t="s">
        <v>140</v>
      </c>
    </row>
    <row r="35" spans="1:4" x14ac:dyDescent="0.25">
      <c r="A35" s="10" t="s">
        <v>141</v>
      </c>
      <c r="B35" s="10" t="s">
        <v>142</v>
      </c>
      <c r="C35" s="10" t="s">
        <v>47</v>
      </c>
      <c r="D35" s="7" t="s">
        <v>51</v>
      </c>
    </row>
    <row r="36" spans="1:4" x14ac:dyDescent="0.25">
      <c r="A36" s="10" t="s">
        <v>143</v>
      </c>
      <c r="B36" s="10" t="s">
        <v>144</v>
      </c>
      <c r="C36" s="10" t="s">
        <v>54</v>
      </c>
      <c r="D36" s="7" t="s">
        <v>145</v>
      </c>
    </row>
    <row r="37" spans="1:4" x14ac:dyDescent="0.25">
      <c r="A37" s="10" t="s">
        <v>146</v>
      </c>
      <c r="B37" s="10" t="s">
        <v>147</v>
      </c>
      <c r="C37" s="10" t="s">
        <v>54</v>
      </c>
      <c r="D37" s="7" t="s">
        <v>61</v>
      </c>
    </row>
    <row r="38" spans="1:4" x14ac:dyDescent="0.25">
      <c r="A38" s="10" t="s">
        <v>148</v>
      </c>
      <c r="B38" s="10" t="s">
        <v>149</v>
      </c>
      <c r="C38" s="10" t="s">
        <v>54</v>
      </c>
      <c r="D38" s="7" t="s">
        <v>58</v>
      </c>
    </row>
    <row r="39" spans="1:4" x14ac:dyDescent="0.25">
      <c r="A39" s="10" t="s">
        <v>150</v>
      </c>
      <c r="B39" s="10" t="s">
        <v>151</v>
      </c>
      <c r="C39" s="10" t="s">
        <v>68</v>
      </c>
      <c r="D39" s="7" t="s">
        <v>152</v>
      </c>
    </row>
    <row r="40" spans="1:4" x14ac:dyDescent="0.25">
      <c r="A40" s="10" t="s">
        <v>153</v>
      </c>
      <c r="B40" s="10" t="s">
        <v>154</v>
      </c>
      <c r="C40" s="10" t="s">
        <v>155</v>
      </c>
      <c r="D40" s="7" t="s">
        <v>156</v>
      </c>
    </row>
    <row r="41" spans="1:4" x14ac:dyDescent="0.25">
      <c r="A41" s="10" t="s">
        <v>1</v>
      </c>
      <c r="B41" s="10" t="s">
        <v>157</v>
      </c>
      <c r="C41" s="10" t="s">
        <v>54</v>
      </c>
      <c r="D41" s="7" t="s">
        <v>158</v>
      </c>
    </row>
    <row r="42" spans="1:4" x14ac:dyDescent="0.25">
      <c r="A42" s="10" t="s">
        <v>159</v>
      </c>
      <c r="B42" s="10" t="s">
        <v>160</v>
      </c>
      <c r="C42" s="10" t="s">
        <v>54</v>
      </c>
      <c r="D42" s="7" t="s">
        <v>161</v>
      </c>
    </row>
    <row r="43" spans="1:4" x14ac:dyDescent="0.25">
      <c r="A43" s="10" t="s">
        <v>162</v>
      </c>
      <c r="B43" s="10" t="s">
        <v>163</v>
      </c>
      <c r="C43" s="10" t="s">
        <v>79</v>
      </c>
      <c r="D43" s="7" t="s">
        <v>164</v>
      </c>
    </row>
    <row r="44" spans="1:4" x14ac:dyDescent="0.25">
      <c r="A44" s="10" t="s">
        <v>165</v>
      </c>
      <c r="B44" s="10" t="s">
        <v>166</v>
      </c>
      <c r="C44" s="10" t="s">
        <v>68</v>
      </c>
      <c r="D44" s="7" t="s">
        <v>101</v>
      </c>
    </row>
    <row r="45" spans="1:4" x14ac:dyDescent="0.25">
      <c r="A45" s="10" t="s">
        <v>167</v>
      </c>
      <c r="B45" s="10" t="s">
        <v>168</v>
      </c>
      <c r="C45" s="10" t="s">
        <v>109</v>
      </c>
      <c r="D45" s="7" t="s">
        <v>169</v>
      </c>
    </row>
    <row r="46" spans="1:4" x14ac:dyDescent="0.25">
      <c r="A46" s="10" t="s">
        <v>170</v>
      </c>
      <c r="B46" s="10" t="s">
        <v>171</v>
      </c>
      <c r="C46" s="10" t="s">
        <v>54</v>
      </c>
      <c r="D46" s="7" t="s">
        <v>172</v>
      </c>
    </row>
    <row r="47" spans="1:4" x14ac:dyDescent="0.25">
      <c r="A47" s="10" t="s">
        <v>173</v>
      </c>
      <c r="B47" s="10" t="s">
        <v>174</v>
      </c>
      <c r="C47" s="10" t="s">
        <v>68</v>
      </c>
      <c r="D47" s="7" t="s">
        <v>152</v>
      </c>
    </row>
    <row r="48" spans="1:4" x14ac:dyDescent="0.25">
      <c r="A48" s="10" t="s">
        <v>175</v>
      </c>
      <c r="B48" s="10" t="s">
        <v>174</v>
      </c>
      <c r="C48" s="10" t="s">
        <v>68</v>
      </c>
      <c r="D48" s="7" t="s">
        <v>128</v>
      </c>
    </row>
    <row r="49" spans="1:4" x14ac:dyDescent="0.25">
      <c r="A49" s="10" t="s">
        <v>176</v>
      </c>
      <c r="B49" s="10" t="s">
        <v>177</v>
      </c>
      <c r="C49" s="10" t="s">
        <v>104</v>
      </c>
      <c r="D49" s="7" t="s">
        <v>178</v>
      </c>
    </row>
    <row r="50" spans="1:4" x14ac:dyDescent="0.25">
      <c r="A50" s="10" t="s">
        <v>179</v>
      </c>
      <c r="B50" s="10" t="s">
        <v>180</v>
      </c>
      <c r="C50" s="10" t="s">
        <v>64</v>
      </c>
      <c r="D50" s="7" t="s">
        <v>181</v>
      </c>
    </row>
    <row r="51" spans="1:4" x14ac:dyDescent="0.25">
      <c r="A51" s="10" t="s">
        <v>182</v>
      </c>
      <c r="B51" s="10" t="s">
        <v>183</v>
      </c>
      <c r="C51" s="10" t="s">
        <v>54</v>
      </c>
      <c r="D51" s="7" t="s">
        <v>58</v>
      </c>
    </row>
    <row r="52" spans="1:4" x14ac:dyDescent="0.25">
      <c r="A52" s="10" t="s">
        <v>184</v>
      </c>
      <c r="B52" s="10" t="s">
        <v>185</v>
      </c>
      <c r="C52" s="10" t="s">
        <v>39</v>
      </c>
      <c r="D52" s="7" t="s">
        <v>186</v>
      </c>
    </row>
    <row r="53" spans="1:4" x14ac:dyDescent="0.25">
      <c r="A53" s="10" t="s">
        <v>187</v>
      </c>
      <c r="B53" s="10" t="s">
        <v>188</v>
      </c>
      <c r="C53" s="10" t="s">
        <v>79</v>
      </c>
      <c r="D53" s="7" t="s">
        <v>189</v>
      </c>
    </row>
    <row r="54" spans="1:4" x14ac:dyDescent="0.25">
      <c r="A54" s="10" t="s">
        <v>190</v>
      </c>
      <c r="B54" s="10" t="s">
        <v>191</v>
      </c>
      <c r="C54" s="10" t="s">
        <v>89</v>
      </c>
      <c r="D54" s="7" t="s">
        <v>192</v>
      </c>
    </row>
    <row r="55" spans="1:4" x14ac:dyDescent="0.25">
      <c r="A55" s="10" t="s">
        <v>193</v>
      </c>
      <c r="B55" s="10" t="s">
        <v>194</v>
      </c>
      <c r="C55" s="10" t="s">
        <v>75</v>
      </c>
      <c r="D55" s="7" t="s">
        <v>114</v>
      </c>
    </row>
    <row r="56" spans="1:4" x14ac:dyDescent="0.25">
      <c r="A56" s="10" t="s">
        <v>195</v>
      </c>
      <c r="B56" s="10" t="s">
        <v>196</v>
      </c>
      <c r="C56" s="10" t="s">
        <v>39</v>
      </c>
      <c r="D56" s="7" t="s">
        <v>197</v>
      </c>
    </row>
    <row r="57" spans="1:4" x14ac:dyDescent="0.25">
      <c r="A57" s="10" t="s">
        <v>198</v>
      </c>
      <c r="B57" s="10" t="s">
        <v>199</v>
      </c>
      <c r="C57" s="10" t="s">
        <v>155</v>
      </c>
      <c r="D57" s="7" t="s">
        <v>200</v>
      </c>
    </row>
    <row r="58" spans="1:4" x14ac:dyDescent="0.25">
      <c r="A58" s="10" t="s">
        <v>201</v>
      </c>
      <c r="B58" s="10" t="s">
        <v>202</v>
      </c>
      <c r="C58" s="10" t="s">
        <v>75</v>
      </c>
      <c r="D58" s="7" t="s">
        <v>203</v>
      </c>
    </row>
    <row r="59" spans="1:4" x14ac:dyDescent="0.25">
      <c r="A59" s="10" t="s">
        <v>204</v>
      </c>
      <c r="B59" s="10" t="s">
        <v>205</v>
      </c>
      <c r="C59" s="10" t="s">
        <v>68</v>
      </c>
      <c r="D59" s="7" t="s">
        <v>206</v>
      </c>
    </row>
    <row r="60" spans="1:4" x14ac:dyDescent="0.25">
      <c r="A60" s="10" t="s">
        <v>207</v>
      </c>
      <c r="B60" s="10" t="s">
        <v>208</v>
      </c>
      <c r="C60" s="10" t="s">
        <v>68</v>
      </c>
      <c r="D60" s="7" t="s">
        <v>137</v>
      </c>
    </row>
    <row r="61" spans="1:4" x14ac:dyDescent="0.25">
      <c r="A61" s="10" t="s">
        <v>209</v>
      </c>
      <c r="B61" s="10" t="s">
        <v>210</v>
      </c>
      <c r="C61" s="10" t="s">
        <v>79</v>
      </c>
      <c r="D61" s="7" t="s">
        <v>211</v>
      </c>
    </row>
    <row r="62" spans="1:4" x14ac:dyDescent="0.25">
      <c r="A62" s="10" t="s">
        <v>212</v>
      </c>
      <c r="B62" s="10" t="s">
        <v>213</v>
      </c>
      <c r="C62" s="10" t="s">
        <v>47</v>
      </c>
      <c r="D62" s="7" t="s">
        <v>48</v>
      </c>
    </row>
    <row r="63" spans="1:4" x14ac:dyDescent="0.25">
      <c r="A63" s="10" t="s">
        <v>214</v>
      </c>
      <c r="B63" s="10" t="s">
        <v>215</v>
      </c>
      <c r="C63" s="10" t="s">
        <v>47</v>
      </c>
      <c r="D63" s="7" t="s">
        <v>48</v>
      </c>
    </row>
    <row r="64" spans="1:4" x14ac:dyDescent="0.25">
      <c r="A64" s="10" t="s">
        <v>216</v>
      </c>
      <c r="B64" s="10" t="s">
        <v>217</v>
      </c>
      <c r="C64" s="10" t="s">
        <v>68</v>
      </c>
      <c r="D64" s="7" t="s">
        <v>218</v>
      </c>
    </row>
    <row r="65" spans="1:4" x14ac:dyDescent="0.25">
      <c r="A65" s="10" t="s">
        <v>219</v>
      </c>
      <c r="B65" s="10" t="s">
        <v>220</v>
      </c>
      <c r="C65" s="10" t="s">
        <v>79</v>
      </c>
      <c r="D65" s="7" t="s">
        <v>221</v>
      </c>
    </row>
    <row r="66" spans="1:4" x14ac:dyDescent="0.25">
      <c r="A66" s="10" t="s">
        <v>222</v>
      </c>
      <c r="B66" s="10" t="s">
        <v>223</v>
      </c>
      <c r="C66" s="10" t="s">
        <v>47</v>
      </c>
      <c r="D66" s="7" t="s">
        <v>72</v>
      </c>
    </row>
    <row r="67" spans="1:4" x14ac:dyDescent="0.25">
      <c r="A67" s="10" t="s">
        <v>224</v>
      </c>
      <c r="B67" s="10" t="s">
        <v>225</v>
      </c>
      <c r="C67" s="10" t="s">
        <v>47</v>
      </c>
      <c r="D67" s="7" t="s">
        <v>72</v>
      </c>
    </row>
    <row r="68" spans="1:4" x14ac:dyDescent="0.25">
      <c r="A68" s="10" t="s">
        <v>226</v>
      </c>
      <c r="B68" s="10" t="s">
        <v>227</v>
      </c>
      <c r="C68" s="10" t="s">
        <v>47</v>
      </c>
      <c r="D68" s="7" t="s">
        <v>51</v>
      </c>
    </row>
    <row r="69" spans="1:4" x14ac:dyDescent="0.25">
      <c r="A69" s="10" t="s">
        <v>228</v>
      </c>
      <c r="B69" s="10" t="s">
        <v>229</v>
      </c>
      <c r="C69" s="10" t="s">
        <v>68</v>
      </c>
      <c r="D69" s="7" t="s">
        <v>137</v>
      </c>
    </row>
    <row r="70" spans="1:4" x14ac:dyDescent="0.25">
      <c r="A70" s="10" t="s">
        <v>230</v>
      </c>
      <c r="B70" s="10" t="s">
        <v>231</v>
      </c>
      <c r="C70" s="10" t="s">
        <v>68</v>
      </c>
      <c r="D70" s="7" t="s">
        <v>137</v>
      </c>
    </row>
    <row r="71" spans="1:4" x14ac:dyDescent="0.25">
      <c r="A71" s="10" t="s">
        <v>34</v>
      </c>
      <c r="B71" s="10" t="s">
        <v>33</v>
      </c>
      <c r="C71" s="10" t="s">
        <v>39</v>
      </c>
      <c r="D71" s="7" t="s">
        <v>197</v>
      </c>
    </row>
    <row r="72" spans="1:4" x14ac:dyDescent="0.25">
      <c r="A72" s="10" t="s">
        <v>232</v>
      </c>
      <c r="B72" s="10" t="s">
        <v>233</v>
      </c>
      <c r="C72" s="10" t="s">
        <v>79</v>
      </c>
      <c r="D72" s="7" t="s">
        <v>80</v>
      </c>
    </row>
    <row r="73" spans="1:4" x14ac:dyDescent="0.25">
      <c r="A73" s="10" t="s">
        <v>234</v>
      </c>
      <c r="B73" s="10" t="s">
        <v>235</v>
      </c>
      <c r="C73" s="10" t="s">
        <v>79</v>
      </c>
      <c r="D73" s="7" t="s">
        <v>164</v>
      </c>
    </row>
    <row r="74" spans="1:4" x14ac:dyDescent="0.25">
      <c r="A74" s="10" t="s">
        <v>236</v>
      </c>
      <c r="B74" s="10" t="s">
        <v>237</v>
      </c>
      <c r="C74" s="10" t="s">
        <v>89</v>
      </c>
      <c r="D74" s="7" t="s">
        <v>90</v>
      </c>
    </row>
    <row r="75" spans="1:4" x14ac:dyDescent="0.25">
      <c r="A75" s="10" t="s">
        <v>238</v>
      </c>
      <c r="B75" s="10" t="s">
        <v>239</v>
      </c>
      <c r="C75" s="10" t="s">
        <v>47</v>
      </c>
      <c r="D75" s="7" t="s">
        <v>48</v>
      </c>
    </row>
    <row r="76" spans="1:4" x14ac:dyDescent="0.25">
      <c r="A76" s="10" t="s">
        <v>240</v>
      </c>
      <c r="B76" s="10" t="s">
        <v>241</v>
      </c>
      <c r="C76" s="10" t="s">
        <v>47</v>
      </c>
      <c r="D76" s="7" t="s">
        <v>242</v>
      </c>
    </row>
    <row r="77" spans="1:4" x14ac:dyDescent="0.25">
      <c r="A77" s="10" t="s">
        <v>243</v>
      </c>
      <c r="B77" s="10" t="s">
        <v>244</v>
      </c>
      <c r="C77" s="10" t="s">
        <v>54</v>
      </c>
      <c r="D77" s="7" t="s">
        <v>61</v>
      </c>
    </row>
    <row r="78" spans="1:4" x14ac:dyDescent="0.25">
      <c r="A78" s="10" t="s">
        <v>246</v>
      </c>
      <c r="B78" s="10" t="s">
        <v>245</v>
      </c>
      <c r="C78" s="10" t="s">
        <v>39</v>
      </c>
      <c r="D78" s="7" t="s">
        <v>247</v>
      </c>
    </row>
    <row r="79" spans="1:4" x14ac:dyDescent="0.25">
      <c r="A79" s="10" t="s">
        <v>248</v>
      </c>
      <c r="B79" s="10" t="s">
        <v>249</v>
      </c>
      <c r="C79" s="10" t="s">
        <v>68</v>
      </c>
      <c r="D79" s="7" t="s">
        <v>152</v>
      </c>
    </row>
    <row r="80" spans="1:4" x14ac:dyDescent="0.25">
      <c r="A80" s="10" t="s">
        <v>250</v>
      </c>
      <c r="B80" s="10" t="s">
        <v>251</v>
      </c>
      <c r="C80" s="10" t="s">
        <v>109</v>
      </c>
      <c r="D80" s="7" t="s">
        <v>252</v>
      </c>
    </row>
    <row r="81" spans="1:4" x14ac:dyDescent="0.25">
      <c r="A81" s="10" t="s">
        <v>253</v>
      </c>
      <c r="B81" s="10" t="s">
        <v>254</v>
      </c>
      <c r="C81" s="10" t="s">
        <v>39</v>
      </c>
      <c r="D81" s="7" t="s">
        <v>44</v>
      </c>
    </row>
    <row r="82" spans="1:4" x14ac:dyDescent="0.25">
      <c r="A82" s="10" t="s">
        <v>255</v>
      </c>
      <c r="B82" s="10" t="s">
        <v>256</v>
      </c>
      <c r="C82" s="10" t="s">
        <v>109</v>
      </c>
      <c r="D82" s="7" t="s">
        <v>169</v>
      </c>
    </row>
    <row r="83" spans="1:4" x14ac:dyDescent="0.25">
      <c r="A83" s="10" t="s">
        <v>257</v>
      </c>
      <c r="B83" s="10" t="s">
        <v>258</v>
      </c>
      <c r="C83" s="10" t="s">
        <v>54</v>
      </c>
      <c r="D83" s="7" t="s">
        <v>58</v>
      </c>
    </row>
    <row r="84" spans="1:4" x14ac:dyDescent="0.25">
      <c r="A84" s="10" t="s">
        <v>259</v>
      </c>
      <c r="B84" s="10" t="s">
        <v>260</v>
      </c>
      <c r="C84" s="10" t="s">
        <v>79</v>
      </c>
      <c r="D84" s="7" t="s">
        <v>261</v>
      </c>
    </row>
    <row r="85" spans="1:4" x14ac:dyDescent="0.25">
      <c r="A85" s="10" t="s">
        <v>262</v>
      </c>
      <c r="B85" s="10" t="s">
        <v>263</v>
      </c>
      <c r="C85" s="10" t="s">
        <v>89</v>
      </c>
      <c r="D85" s="7" t="s">
        <v>192</v>
      </c>
    </row>
    <row r="86" spans="1:4" x14ac:dyDescent="0.25">
      <c r="A86" s="10" t="s">
        <v>264</v>
      </c>
      <c r="B86" s="10" t="s">
        <v>265</v>
      </c>
      <c r="C86" s="10" t="s">
        <v>109</v>
      </c>
      <c r="D86" s="7" t="s">
        <v>266</v>
      </c>
    </row>
    <row r="87" spans="1:4" x14ac:dyDescent="0.25">
      <c r="A87" s="10" t="s">
        <v>267</v>
      </c>
      <c r="B87" s="10" t="s">
        <v>268</v>
      </c>
      <c r="C87" s="10" t="s">
        <v>68</v>
      </c>
      <c r="D87" s="7" t="s">
        <v>125</v>
      </c>
    </row>
    <row r="88" spans="1:4" x14ac:dyDescent="0.25">
      <c r="A88" s="10" t="s">
        <v>269</v>
      </c>
      <c r="B88" s="10" t="s">
        <v>270</v>
      </c>
      <c r="C88" s="10" t="s">
        <v>47</v>
      </c>
      <c r="D88" s="7" t="s">
        <v>271</v>
      </c>
    </row>
    <row r="89" spans="1:4" x14ac:dyDescent="0.25">
      <c r="A89" s="10" t="s">
        <v>272</v>
      </c>
      <c r="B89" s="10" t="s">
        <v>273</v>
      </c>
      <c r="C89" s="10" t="s">
        <v>79</v>
      </c>
      <c r="D89" s="7" t="s">
        <v>189</v>
      </c>
    </row>
    <row r="90" spans="1:4" x14ac:dyDescent="0.25">
      <c r="A90" s="10" t="s">
        <v>274</v>
      </c>
      <c r="B90" s="10" t="s">
        <v>275</v>
      </c>
      <c r="C90" s="10" t="s">
        <v>79</v>
      </c>
      <c r="D90" s="7" t="s">
        <v>80</v>
      </c>
    </row>
    <row r="91" spans="1:4" x14ac:dyDescent="0.25">
      <c r="A91" s="10" t="s">
        <v>276</v>
      </c>
      <c r="B91" s="10" t="s">
        <v>277</v>
      </c>
      <c r="C91" s="10" t="s">
        <v>39</v>
      </c>
      <c r="D91" s="7" t="s">
        <v>44</v>
      </c>
    </row>
    <row r="92" spans="1:4" x14ac:dyDescent="0.25">
      <c r="A92" s="10" t="s">
        <v>278</v>
      </c>
      <c r="B92" s="10" t="s">
        <v>279</v>
      </c>
      <c r="C92" s="10" t="s">
        <v>47</v>
      </c>
      <c r="D92" s="7" t="s">
        <v>242</v>
      </c>
    </row>
    <row r="93" spans="1:4" x14ac:dyDescent="0.25">
      <c r="A93" s="10" t="s">
        <v>280</v>
      </c>
      <c r="B93" s="10" t="s">
        <v>281</v>
      </c>
      <c r="C93" s="10" t="s">
        <v>39</v>
      </c>
      <c r="D93" s="7" t="s">
        <v>282</v>
      </c>
    </row>
    <row r="94" spans="1:4" x14ac:dyDescent="0.25">
      <c r="A94" s="10" t="s">
        <v>283</v>
      </c>
      <c r="B94" s="10" t="s">
        <v>284</v>
      </c>
      <c r="C94" s="10" t="s">
        <v>68</v>
      </c>
      <c r="D94" s="7" t="s">
        <v>285</v>
      </c>
    </row>
    <row r="95" spans="1:4" x14ac:dyDescent="0.25">
      <c r="A95" s="10" t="s">
        <v>286</v>
      </c>
      <c r="B95" s="10" t="s">
        <v>287</v>
      </c>
      <c r="C95" s="10" t="s">
        <v>89</v>
      </c>
      <c r="D95" s="7" t="s">
        <v>288</v>
      </c>
    </row>
    <row r="96" spans="1:4" x14ac:dyDescent="0.25">
      <c r="A96" s="10" t="s">
        <v>289</v>
      </c>
      <c r="B96" s="10" t="s">
        <v>289</v>
      </c>
      <c r="C96" s="10" t="s">
        <v>54</v>
      </c>
      <c r="D96" s="7" t="s">
        <v>290</v>
      </c>
    </row>
    <row r="97" spans="1:4" x14ac:dyDescent="0.25">
      <c r="A97" s="10" t="s">
        <v>291</v>
      </c>
      <c r="B97" s="10" t="s">
        <v>292</v>
      </c>
      <c r="C97" s="10" t="s">
        <v>75</v>
      </c>
      <c r="D97" s="7" t="s">
        <v>86</v>
      </c>
    </row>
    <row r="98" spans="1:4" x14ac:dyDescent="0.25">
      <c r="A98" s="10" t="s">
        <v>293</v>
      </c>
      <c r="B98" s="10" t="s">
        <v>294</v>
      </c>
      <c r="C98" s="10" t="s">
        <v>47</v>
      </c>
      <c r="D98" s="7" t="s">
        <v>271</v>
      </c>
    </row>
    <row r="99" spans="1:4" x14ac:dyDescent="0.25">
      <c r="A99" s="10" t="s">
        <v>295</v>
      </c>
      <c r="B99" s="10" t="s">
        <v>296</v>
      </c>
      <c r="C99" s="10" t="s">
        <v>47</v>
      </c>
      <c r="D99" s="7" t="s">
        <v>297</v>
      </c>
    </row>
    <row r="100" spans="1:4" x14ac:dyDescent="0.25">
      <c r="A100" s="10" t="s">
        <v>298</v>
      </c>
      <c r="B100" s="10" t="s">
        <v>299</v>
      </c>
      <c r="C100" s="10" t="s">
        <v>64</v>
      </c>
      <c r="D100" s="7" t="s">
        <v>117</v>
      </c>
    </row>
    <row r="101" spans="1:4" x14ac:dyDescent="0.25">
      <c r="A101" s="10" t="s">
        <v>300</v>
      </c>
      <c r="B101" s="10" t="s">
        <v>301</v>
      </c>
      <c r="C101" s="10" t="s">
        <v>75</v>
      </c>
      <c r="D101" s="7" t="s">
        <v>302</v>
      </c>
    </row>
    <row r="102" spans="1:4" x14ac:dyDescent="0.25">
      <c r="A102" s="10" t="s">
        <v>303</v>
      </c>
      <c r="B102" s="10" t="s">
        <v>304</v>
      </c>
      <c r="C102" s="10" t="s">
        <v>39</v>
      </c>
      <c r="D102" s="7" t="s">
        <v>305</v>
      </c>
    </row>
    <row r="103" spans="1:4" x14ac:dyDescent="0.25">
      <c r="A103" s="10" t="s">
        <v>306</v>
      </c>
      <c r="B103" s="10" t="s">
        <v>307</v>
      </c>
      <c r="C103" s="10" t="s">
        <v>47</v>
      </c>
      <c r="D103" s="7" t="s">
        <v>72</v>
      </c>
    </row>
    <row r="104" spans="1:4" x14ac:dyDescent="0.25">
      <c r="A104" s="10" t="s">
        <v>308</v>
      </c>
      <c r="B104" s="10" t="s">
        <v>309</v>
      </c>
      <c r="C104" s="10" t="s">
        <v>68</v>
      </c>
      <c r="D104" s="7" t="s">
        <v>310</v>
      </c>
    </row>
    <row r="105" spans="1:4" x14ac:dyDescent="0.25">
      <c r="A105" s="10" t="s">
        <v>311</v>
      </c>
      <c r="B105" s="10" t="s">
        <v>312</v>
      </c>
      <c r="C105" s="10" t="s">
        <v>104</v>
      </c>
      <c r="D105" s="7" t="s">
        <v>313</v>
      </c>
    </row>
    <row r="106" spans="1:4" x14ac:dyDescent="0.25">
      <c r="A106" s="10" t="s">
        <v>314</v>
      </c>
      <c r="B106" s="10" t="s">
        <v>315</v>
      </c>
      <c r="C106" s="10" t="s">
        <v>155</v>
      </c>
      <c r="D106" s="7" t="s">
        <v>316</v>
      </c>
    </row>
    <row r="107" spans="1:4" x14ac:dyDescent="0.25">
      <c r="A107" s="10" t="s">
        <v>317</v>
      </c>
      <c r="B107" s="10" t="s">
        <v>318</v>
      </c>
      <c r="C107" s="10" t="s">
        <v>79</v>
      </c>
      <c r="D107" s="7" t="s">
        <v>319</v>
      </c>
    </row>
    <row r="108" spans="1:4" x14ac:dyDescent="0.25">
      <c r="A108" s="10" t="s">
        <v>320</v>
      </c>
      <c r="B108" s="10" t="s">
        <v>321</v>
      </c>
      <c r="C108" s="10" t="s">
        <v>68</v>
      </c>
      <c r="D108" s="7" t="s">
        <v>101</v>
      </c>
    </row>
    <row r="109" spans="1:4" x14ac:dyDescent="0.25">
      <c r="A109" s="10" t="s">
        <v>322</v>
      </c>
      <c r="B109" s="10" t="s">
        <v>323</v>
      </c>
      <c r="C109" s="10" t="s">
        <v>109</v>
      </c>
      <c r="D109" s="7" t="s">
        <v>324</v>
      </c>
    </row>
    <row r="110" spans="1:4" x14ac:dyDescent="0.25">
      <c r="A110" s="10" t="s">
        <v>325</v>
      </c>
      <c r="B110" s="10" t="s">
        <v>326</v>
      </c>
      <c r="C110" s="10" t="s">
        <v>47</v>
      </c>
      <c r="D110" s="7" t="s">
        <v>327</v>
      </c>
    </row>
    <row r="111" spans="1:4" x14ac:dyDescent="0.25">
      <c r="A111" s="10" t="s">
        <v>328</v>
      </c>
      <c r="B111" s="10" t="s">
        <v>329</v>
      </c>
      <c r="C111" s="10" t="s">
        <v>68</v>
      </c>
      <c r="D111" s="7" t="s">
        <v>101</v>
      </c>
    </row>
    <row r="112" spans="1:4" x14ac:dyDescent="0.25">
      <c r="A112" s="10" t="s">
        <v>330</v>
      </c>
      <c r="B112" s="10" t="s">
        <v>331</v>
      </c>
      <c r="C112" s="10" t="s">
        <v>39</v>
      </c>
      <c r="D112" s="7" t="s">
        <v>332</v>
      </c>
    </row>
    <row r="113" spans="1:4" x14ac:dyDescent="0.25">
      <c r="A113" s="10" t="s">
        <v>333</v>
      </c>
      <c r="B113" s="10" t="s">
        <v>334</v>
      </c>
      <c r="C113" s="10" t="s">
        <v>54</v>
      </c>
      <c r="D113" s="7" t="s">
        <v>172</v>
      </c>
    </row>
    <row r="114" spans="1:4" x14ac:dyDescent="0.25">
      <c r="A114" s="10" t="s">
        <v>335</v>
      </c>
      <c r="B114" s="10" t="s">
        <v>336</v>
      </c>
      <c r="C114" s="10" t="s">
        <v>68</v>
      </c>
      <c r="D114" s="7" t="s">
        <v>206</v>
      </c>
    </row>
    <row r="115" spans="1:4" x14ac:dyDescent="0.25">
      <c r="A115" s="10" t="s">
        <v>337</v>
      </c>
      <c r="B115" s="10" t="s">
        <v>338</v>
      </c>
      <c r="C115" s="10" t="s">
        <v>68</v>
      </c>
      <c r="D115" s="7" t="s">
        <v>339</v>
      </c>
    </row>
    <row r="116" spans="1:4" x14ac:dyDescent="0.25">
      <c r="A116" s="10" t="s">
        <v>340</v>
      </c>
      <c r="B116" s="10" t="s">
        <v>341</v>
      </c>
      <c r="C116" s="10" t="s">
        <v>109</v>
      </c>
      <c r="D116" s="7" t="s">
        <v>324</v>
      </c>
    </row>
    <row r="117" spans="1:4" x14ac:dyDescent="0.25">
      <c r="A117" s="10" t="s">
        <v>342</v>
      </c>
      <c r="B117" s="10" t="s">
        <v>343</v>
      </c>
      <c r="C117" s="10" t="s">
        <v>68</v>
      </c>
      <c r="D117" s="7" t="s">
        <v>285</v>
      </c>
    </row>
    <row r="118" spans="1:4" x14ac:dyDescent="0.25">
      <c r="A118" s="10" t="s">
        <v>344</v>
      </c>
      <c r="B118" s="10" t="s">
        <v>345</v>
      </c>
      <c r="C118" s="10" t="s">
        <v>64</v>
      </c>
      <c r="D118" s="7" t="s">
        <v>117</v>
      </c>
    </row>
    <row r="119" spans="1:4" x14ac:dyDescent="0.25">
      <c r="A119" s="10" t="s">
        <v>346</v>
      </c>
      <c r="B119" s="10" t="s">
        <v>347</v>
      </c>
      <c r="C119" s="10" t="s">
        <v>109</v>
      </c>
      <c r="D119" s="7" t="s">
        <v>348</v>
      </c>
    </row>
    <row r="120" spans="1:4" x14ac:dyDescent="0.25">
      <c r="A120" s="10" t="s">
        <v>349</v>
      </c>
      <c r="B120" s="10" t="s">
        <v>350</v>
      </c>
      <c r="C120" s="10" t="s">
        <v>54</v>
      </c>
      <c r="D120" s="7" t="s">
        <v>55</v>
      </c>
    </row>
    <row r="121" spans="1:4" x14ac:dyDescent="0.25">
      <c r="A121" s="10" t="s">
        <v>351</v>
      </c>
      <c r="B121" s="10" t="s">
        <v>352</v>
      </c>
      <c r="C121" s="10" t="s">
        <v>109</v>
      </c>
      <c r="D121" s="7" t="s">
        <v>324</v>
      </c>
    </row>
    <row r="122" spans="1:4" x14ac:dyDescent="0.25">
      <c r="A122" s="10" t="s">
        <v>3</v>
      </c>
      <c r="B122" s="10" t="s">
        <v>8</v>
      </c>
      <c r="C122" s="10" t="s">
        <v>104</v>
      </c>
      <c r="D122" s="7" t="s">
        <v>313</v>
      </c>
    </row>
    <row r="123" spans="1:4" x14ac:dyDescent="0.25">
      <c r="A123" s="10" t="s">
        <v>353</v>
      </c>
      <c r="B123" s="10" t="s">
        <v>354</v>
      </c>
      <c r="C123" s="10" t="s">
        <v>68</v>
      </c>
      <c r="D123" s="7" t="s">
        <v>206</v>
      </c>
    </row>
    <row r="124" spans="1:4" x14ac:dyDescent="0.25">
      <c r="A124" s="10" t="s">
        <v>355</v>
      </c>
      <c r="B124" s="10" t="s">
        <v>356</v>
      </c>
      <c r="C124" s="10" t="s">
        <v>109</v>
      </c>
      <c r="D124" s="7" t="s">
        <v>266</v>
      </c>
    </row>
    <row r="125" spans="1:4" x14ac:dyDescent="0.25">
      <c r="A125" s="10" t="s">
        <v>357</v>
      </c>
      <c r="B125" s="10" t="s">
        <v>358</v>
      </c>
      <c r="C125" s="10" t="s">
        <v>155</v>
      </c>
      <c r="D125" s="7" t="s">
        <v>156</v>
      </c>
    </row>
    <row r="126" spans="1:4" x14ac:dyDescent="0.25">
      <c r="A126" s="10" t="s">
        <v>359</v>
      </c>
      <c r="B126" s="10" t="s">
        <v>360</v>
      </c>
      <c r="C126" s="10" t="s">
        <v>64</v>
      </c>
      <c r="D126" s="7" t="s">
        <v>117</v>
      </c>
    </row>
    <row r="127" spans="1:4" x14ac:dyDescent="0.25">
      <c r="A127" s="10" t="s">
        <v>361</v>
      </c>
      <c r="B127" s="10" t="s">
        <v>362</v>
      </c>
      <c r="C127" s="10" t="s">
        <v>109</v>
      </c>
      <c r="D127" s="7" t="s">
        <v>252</v>
      </c>
    </row>
    <row r="128" spans="1:4" x14ac:dyDescent="0.25">
      <c r="A128" s="10" t="s">
        <v>363</v>
      </c>
      <c r="B128" s="10" t="s">
        <v>364</v>
      </c>
      <c r="C128" s="10" t="s">
        <v>64</v>
      </c>
      <c r="D128" s="7" t="s">
        <v>98</v>
      </c>
    </row>
    <row r="129" spans="1:4" x14ac:dyDescent="0.25">
      <c r="A129" s="10" t="s">
        <v>365</v>
      </c>
      <c r="B129" s="10" t="s">
        <v>366</v>
      </c>
      <c r="C129" s="10" t="s">
        <v>47</v>
      </c>
      <c r="D129" s="7" t="s">
        <v>93</v>
      </c>
    </row>
    <row r="130" spans="1:4" x14ac:dyDescent="0.25">
      <c r="A130" s="10" t="s">
        <v>367</v>
      </c>
      <c r="B130" s="10" t="s">
        <v>368</v>
      </c>
      <c r="C130" s="10" t="s">
        <v>39</v>
      </c>
      <c r="D130" s="7" t="s">
        <v>332</v>
      </c>
    </row>
    <row r="131" spans="1:4" x14ac:dyDescent="0.25">
      <c r="A131" s="10" t="s">
        <v>369</v>
      </c>
      <c r="B131" s="10" t="s">
        <v>370</v>
      </c>
      <c r="C131" s="10" t="s">
        <v>54</v>
      </c>
      <c r="D131" s="7" t="s">
        <v>145</v>
      </c>
    </row>
    <row r="132" spans="1:4" x14ac:dyDescent="0.25">
      <c r="A132" s="10" t="s">
        <v>371</v>
      </c>
      <c r="B132" s="10" t="s">
        <v>372</v>
      </c>
      <c r="C132" s="10" t="s">
        <v>75</v>
      </c>
      <c r="D132" s="7" t="s">
        <v>302</v>
      </c>
    </row>
    <row r="133" spans="1:4" x14ac:dyDescent="0.25">
      <c r="A133" s="10" t="s">
        <v>373</v>
      </c>
      <c r="B133" s="10" t="s">
        <v>374</v>
      </c>
      <c r="C133" s="10" t="s">
        <v>89</v>
      </c>
      <c r="D133" s="7" t="s">
        <v>288</v>
      </c>
    </row>
    <row r="134" spans="1:4" x14ac:dyDescent="0.25">
      <c r="A134" s="10" t="s">
        <v>375</v>
      </c>
      <c r="B134" s="10" t="s">
        <v>376</v>
      </c>
      <c r="C134" s="10" t="s">
        <v>109</v>
      </c>
      <c r="D134" s="7" t="s">
        <v>377</v>
      </c>
    </row>
    <row r="135" spans="1:4" x14ac:dyDescent="0.25">
      <c r="A135" s="10" t="s">
        <v>378</v>
      </c>
      <c r="B135" s="10" t="s">
        <v>379</v>
      </c>
      <c r="C135" s="10" t="s">
        <v>155</v>
      </c>
      <c r="D135" s="7" t="s">
        <v>156</v>
      </c>
    </row>
    <row r="136" spans="1:4" x14ac:dyDescent="0.25">
      <c r="A136" s="10" t="s">
        <v>380</v>
      </c>
      <c r="B136" s="10" t="s">
        <v>381</v>
      </c>
      <c r="C136" s="10" t="s">
        <v>89</v>
      </c>
      <c r="D136" s="7" t="s">
        <v>131</v>
      </c>
    </row>
    <row r="137" spans="1:4" x14ac:dyDescent="0.25">
      <c r="A137" s="10" t="s">
        <v>382</v>
      </c>
      <c r="B137" s="10" t="s">
        <v>382</v>
      </c>
      <c r="C137" s="10" t="s">
        <v>39</v>
      </c>
      <c r="D137" s="7" t="s">
        <v>383</v>
      </c>
    </row>
    <row r="138" spans="1:4" x14ac:dyDescent="0.25">
      <c r="A138" s="10" t="s">
        <v>384</v>
      </c>
      <c r="B138" s="10" t="s">
        <v>385</v>
      </c>
      <c r="C138" s="10" t="s">
        <v>39</v>
      </c>
      <c r="D138" s="7" t="s">
        <v>282</v>
      </c>
    </row>
    <row r="139" spans="1:4" x14ac:dyDescent="0.25">
      <c r="A139" s="10" t="s">
        <v>386</v>
      </c>
      <c r="B139" s="10" t="s">
        <v>387</v>
      </c>
      <c r="C139" s="10" t="s">
        <v>47</v>
      </c>
      <c r="D139" s="7" t="s">
        <v>327</v>
      </c>
    </row>
    <row r="140" spans="1:4" x14ac:dyDescent="0.25">
      <c r="A140" s="10" t="s">
        <v>388</v>
      </c>
      <c r="B140" s="10" t="s">
        <v>389</v>
      </c>
      <c r="C140" s="10" t="s">
        <v>47</v>
      </c>
      <c r="D140" s="7" t="s">
        <v>72</v>
      </c>
    </row>
    <row r="141" spans="1:4" x14ac:dyDescent="0.25">
      <c r="A141" s="10" t="s">
        <v>390</v>
      </c>
      <c r="B141" s="10" t="s">
        <v>391</v>
      </c>
      <c r="C141" s="10" t="s">
        <v>79</v>
      </c>
      <c r="D141" s="7" t="s">
        <v>319</v>
      </c>
    </row>
    <row r="142" spans="1:4" x14ac:dyDescent="0.25">
      <c r="A142" s="10" t="s">
        <v>392</v>
      </c>
      <c r="B142" s="10" t="s">
        <v>393</v>
      </c>
      <c r="C142" s="10" t="s">
        <v>47</v>
      </c>
      <c r="D142" s="7" t="s">
        <v>327</v>
      </c>
    </row>
    <row r="143" spans="1:4" x14ac:dyDescent="0.25">
      <c r="A143" s="10" t="s">
        <v>394</v>
      </c>
      <c r="B143" s="10" t="s">
        <v>395</v>
      </c>
      <c r="C143" s="10" t="s">
        <v>39</v>
      </c>
      <c r="D143" s="7" t="s">
        <v>186</v>
      </c>
    </row>
    <row r="144" spans="1:4" x14ac:dyDescent="0.25">
      <c r="A144" s="10" t="s">
        <v>396</v>
      </c>
      <c r="B144" s="10" t="s">
        <v>397</v>
      </c>
      <c r="C144" s="10" t="s">
        <v>79</v>
      </c>
      <c r="D144" s="7" t="s">
        <v>398</v>
      </c>
    </row>
    <row r="145" spans="1:4" x14ac:dyDescent="0.25">
      <c r="A145" s="10" t="s">
        <v>399</v>
      </c>
      <c r="B145" s="10" t="s">
        <v>400</v>
      </c>
      <c r="C145" s="10" t="s">
        <v>39</v>
      </c>
      <c r="D145" s="7" t="s">
        <v>401</v>
      </c>
    </row>
    <row r="146" spans="1:4" x14ac:dyDescent="0.25">
      <c r="A146" s="10" t="s">
        <v>402</v>
      </c>
      <c r="B146" s="10" t="s">
        <v>403</v>
      </c>
      <c r="C146" s="10" t="s">
        <v>39</v>
      </c>
      <c r="D146" s="7" t="s">
        <v>122</v>
      </c>
    </row>
    <row r="147" spans="1:4" x14ac:dyDescent="0.25">
      <c r="A147" s="10" t="s">
        <v>404</v>
      </c>
      <c r="B147" s="10" t="s">
        <v>405</v>
      </c>
      <c r="C147" s="10" t="s">
        <v>47</v>
      </c>
      <c r="D147" s="7" t="s">
        <v>93</v>
      </c>
    </row>
    <row r="148" spans="1:4" x14ac:dyDescent="0.25">
      <c r="A148" s="10" t="s">
        <v>406</v>
      </c>
      <c r="B148" s="10" t="s">
        <v>407</v>
      </c>
      <c r="C148" s="10" t="s">
        <v>155</v>
      </c>
      <c r="D148" s="7" t="s">
        <v>156</v>
      </c>
    </row>
    <row r="149" spans="1:4" x14ac:dyDescent="0.25">
      <c r="A149" s="10" t="s">
        <v>408</v>
      </c>
      <c r="B149" s="10" t="s">
        <v>409</v>
      </c>
      <c r="C149" s="10" t="s">
        <v>47</v>
      </c>
      <c r="D149" s="7" t="s">
        <v>48</v>
      </c>
    </row>
    <row r="150" spans="1:4" x14ac:dyDescent="0.25">
      <c r="A150" s="10" t="s">
        <v>410</v>
      </c>
      <c r="B150" s="10" t="s">
        <v>411</v>
      </c>
      <c r="C150" s="10" t="s">
        <v>155</v>
      </c>
      <c r="D150" s="7" t="s">
        <v>156</v>
      </c>
    </row>
    <row r="151" spans="1:4" x14ac:dyDescent="0.25">
      <c r="A151" s="10" t="s">
        <v>412</v>
      </c>
      <c r="B151" s="10" t="s">
        <v>413</v>
      </c>
      <c r="C151" s="10" t="s">
        <v>89</v>
      </c>
      <c r="D151" s="7" t="s">
        <v>414</v>
      </c>
    </row>
    <row r="152" spans="1:4" x14ac:dyDescent="0.25">
      <c r="A152" s="10" t="s">
        <v>415</v>
      </c>
      <c r="B152" s="10" t="s">
        <v>416</v>
      </c>
      <c r="C152" s="10" t="s">
        <v>68</v>
      </c>
      <c r="D152" s="7" t="s">
        <v>125</v>
      </c>
    </row>
    <row r="153" spans="1:4" x14ac:dyDescent="0.25">
      <c r="A153" s="10" t="s">
        <v>417</v>
      </c>
      <c r="B153" s="10" t="s">
        <v>418</v>
      </c>
      <c r="C153" s="10" t="s">
        <v>109</v>
      </c>
      <c r="D153" s="7" t="s">
        <v>377</v>
      </c>
    </row>
    <row r="154" spans="1:4" x14ac:dyDescent="0.25">
      <c r="A154" s="10" t="s">
        <v>419</v>
      </c>
      <c r="B154" s="10" t="s">
        <v>420</v>
      </c>
      <c r="C154" s="10" t="s">
        <v>109</v>
      </c>
      <c r="D154" s="7" t="s">
        <v>377</v>
      </c>
    </row>
    <row r="155" spans="1:4" x14ac:dyDescent="0.25">
      <c r="A155" s="10" t="s">
        <v>421</v>
      </c>
      <c r="B155" s="10" t="s">
        <v>422</v>
      </c>
      <c r="C155" s="10" t="s">
        <v>64</v>
      </c>
      <c r="D155" s="7" t="s">
        <v>117</v>
      </c>
    </row>
    <row r="156" spans="1:4" x14ac:dyDescent="0.25">
      <c r="A156" s="10" t="s">
        <v>423</v>
      </c>
      <c r="B156" s="10" t="s">
        <v>424</v>
      </c>
      <c r="C156" s="10" t="s">
        <v>79</v>
      </c>
      <c r="D156" s="7" t="s">
        <v>319</v>
      </c>
    </row>
    <row r="157" spans="1:4" x14ac:dyDescent="0.25">
      <c r="A157" s="10" t="s">
        <v>425</v>
      </c>
      <c r="B157" s="10" t="s">
        <v>426</v>
      </c>
      <c r="C157" s="10" t="s">
        <v>39</v>
      </c>
      <c r="D157" s="7" t="s">
        <v>427</v>
      </c>
    </row>
    <row r="158" spans="1:4" x14ac:dyDescent="0.25">
      <c r="A158" s="10" t="s">
        <v>428</v>
      </c>
      <c r="B158" s="10" t="s">
        <v>429</v>
      </c>
      <c r="C158" s="10" t="s">
        <v>75</v>
      </c>
      <c r="D158" s="7" t="s">
        <v>430</v>
      </c>
    </row>
    <row r="159" spans="1:4" x14ac:dyDescent="0.25">
      <c r="A159" s="10" t="s">
        <v>431</v>
      </c>
      <c r="B159" s="10" t="s">
        <v>432</v>
      </c>
      <c r="C159" s="10" t="s">
        <v>79</v>
      </c>
      <c r="D159" s="7" t="s">
        <v>433</v>
      </c>
    </row>
    <row r="160" spans="1:4" x14ac:dyDescent="0.25">
      <c r="A160" s="10" t="s">
        <v>434</v>
      </c>
      <c r="B160" s="10" t="s">
        <v>435</v>
      </c>
      <c r="C160" s="10" t="s">
        <v>64</v>
      </c>
      <c r="D160" s="7" t="s">
        <v>117</v>
      </c>
    </row>
    <row r="161" spans="1:4" x14ac:dyDescent="0.25">
      <c r="A161" s="10" t="s">
        <v>436</v>
      </c>
      <c r="B161" s="10" t="s">
        <v>437</v>
      </c>
      <c r="C161" s="10" t="s">
        <v>64</v>
      </c>
      <c r="D161" s="7" t="s">
        <v>117</v>
      </c>
    </row>
    <row r="162" spans="1:4" x14ac:dyDescent="0.25">
      <c r="A162" s="10" t="s">
        <v>438</v>
      </c>
      <c r="B162" s="10" t="s">
        <v>439</v>
      </c>
      <c r="C162" s="10" t="s">
        <v>75</v>
      </c>
      <c r="D162" s="7" t="s">
        <v>86</v>
      </c>
    </row>
    <row r="163" spans="1:4" x14ac:dyDescent="0.25">
      <c r="A163" s="10" t="s">
        <v>440</v>
      </c>
      <c r="B163" s="10" t="s">
        <v>441</v>
      </c>
      <c r="C163" s="10" t="s">
        <v>75</v>
      </c>
      <c r="D163" s="7" t="s">
        <v>86</v>
      </c>
    </row>
    <row r="164" spans="1:4" x14ac:dyDescent="0.25">
      <c r="A164" s="10" t="s">
        <v>442</v>
      </c>
      <c r="B164" s="10" t="s">
        <v>443</v>
      </c>
      <c r="C164" s="10" t="s">
        <v>39</v>
      </c>
      <c r="D164" s="7" t="s">
        <v>140</v>
      </c>
    </row>
    <row r="165" spans="1:4" x14ac:dyDescent="0.25">
      <c r="A165" s="10" t="s">
        <v>444</v>
      </c>
      <c r="B165" s="10" t="s">
        <v>445</v>
      </c>
      <c r="C165" s="10" t="s">
        <v>79</v>
      </c>
      <c r="D165" s="7" t="s">
        <v>111</v>
      </c>
    </row>
    <row r="166" spans="1:4" x14ac:dyDescent="0.25">
      <c r="A166" s="10" t="s">
        <v>446</v>
      </c>
      <c r="B166" s="10" t="s">
        <v>447</v>
      </c>
      <c r="C166" s="10" t="s">
        <v>75</v>
      </c>
      <c r="D166" s="7" t="s">
        <v>86</v>
      </c>
    </row>
    <row r="167" spans="1:4" x14ac:dyDescent="0.25">
      <c r="A167" s="10" t="s">
        <v>448</v>
      </c>
      <c r="B167" s="10" t="s">
        <v>449</v>
      </c>
      <c r="C167" s="10" t="s">
        <v>64</v>
      </c>
      <c r="D167" s="7" t="s">
        <v>98</v>
      </c>
    </row>
    <row r="168" spans="1:4" x14ac:dyDescent="0.25">
      <c r="A168" s="10" t="s">
        <v>450</v>
      </c>
      <c r="B168" s="10" t="s">
        <v>451</v>
      </c>
      <c r="C168" s="10" t="s">
        <v>47</v>
      </c>
      <c r="D168" s="7" t="s">
        <v>48</v>
      </c>
    </row>
    <row r="169" spans="1:4" x14ac:dyDescent="0.25">
      <c r="A169" s="10" t="s">
        <v>452</v>
      </c>
      <c r="B169" s="10" t="s">
        <v>453</v>
      </c>
      <c r="C169" s="10" t="s">
        <v>104</v>
      </c>
      <c r="D169" s="7" t="s">
        <v>454</v>
      </c>
    </row>
    <row r="170" spans="1:4" x14ac:dyDescent="0.25">
      <c r="A170" s="10" t="s">
        <v>455</v>
      </c>
      <c r="B170" s="10" t="s">
        <v>456</v>
      </c>
      <c r="C170" s="10" t="s">
        <v>47</v>
      </c>
      <c r="D170" s="7" t="s">
        <v>297</v>
      </c>
    </row>
    <row r="171" spans="1:4" x14ac:dyDescent="0.25">
      <c r="A171" s="10" t="s">
        <v>457</v>
      </c>
      <c r="B171" s="10" t="s">
        <v>458</v>
      </c>
      <c r="C171" s="10" t="s">
        <v>47</v>
      </c>
      <c r="D171" s="7" t="s">
        <v>242</v>
      </c>
    </row>
    <row r="172" spans="1:4" x14ac:dyDescent="0.25">
      <c r="A172" s="10" t="s">
        <v>459</v>
      </c>
      <c r="B172" s="10" t="s">
        <v>460</v>
      </c>
      <c r="C172" s="10" t="s">
        <v>39</v>
      </c>
      <c r="D172" s="7" t="s">
        <v>140</v>
      </c>
    </row>
    <row r="173" spans="1:4" x14ac:dyDescent="0.25">
      <c r="A173" s="10" t="s">
        <v>461</v>
      </c>
      <c r="B173" s="10" t="s">
        <v>462</v>
      </c>
      <c r="C173" s="10" t="s">
        <v>54</v>
      </c>
      <c r="D173" s="7" t="s">
        <v>161</v>
      </c>
    </row>
    <row r="174" spans="1:4" x14ac:dyDescent="0.25">
      <c r="A174" s="10" t="s">
        <v>463</v>
      </c>
      <c r="B174" s="10" t="s">
        <v>464</v>
      </c>
      <c r="C174" s="10" t="s">
        <v>64</v>
      </c>
      <c r="D174" s="7" t="s">
        <v>98</v>
      </c>
    </row>
    <row r="175" spans="1:4" x14ac:dyDescent="0.25">
      <c r="A175" s="10" t="s">
        <v>465</v>
      </c>
      <c r="B175" s="10" t="s">
        <v>466</v>
      </c>
      <c r="C175" s="10" t="s">
        <v>155</v>
      </c>
      <c r="D175" s="7" t="s">
        <v>156</v>
      </c>
    </row>
    <row r="176" spans="1:4" x14ac:dyDescent="0.25">
      <c r="A176" s="10" t="s">
        <v>467</v>
      </c>
      <c r="B176" s="10" t="s">
        <v>468</v>
      </c>
      <c r="C176" s="10" t="s">
        <v>54</v>
      </c>
      <c r="D176" s="7" t="s">
        <v>55</v>
      </c>
    </row>
    <row r="177" spans="1:4" x14ac:dyDescent="0.25">
      <c r="A177" s="10" t="s">
        <v>469</v>
      </c>
      <c r="B177" s="10" t="s">
        <v>469</v>
      </c>
      <c r="C177" s="10" t="s">
        <v>155</v>
      </c>
      <c r="D177" s="7" t="s">
        <v>156</v>
      </c>
    </row>
    <row r="178" spans="1:4" x14ac:dyDescent="0.25">
      <c r="A178" s="10" t="s">
        <v>470</v>
      </c>
      <c r="B178" s="10" t="s">
        <v>471</v>
      </c>
      <c r="C178" s="10" t="s">
        <v>39</v>
      </c>
      <c r="D178" s="7" t="s">
        <v>472</v>
      </c>
    </row>
    <row r="179" spans="1:4" x14ac:dyDescent="0.25">
      <c r="A179" s="10" t="s">
        <v>473</v>
      </c>
      <c r="B179" s="10" t="s">
        <v>474</v>
      </c>
      <c r="C179" s="10" t="s">
        <v>89</v>
      </c>
      <c r="D179" s="7" t="s">
        <v>414</v>
      </c>
    </row>
    <row r="180" spans="1:4" x14ac:dyDescent="0.25">
      <c r="A180" s="10" t="s">
        <v>475</v>
      </c>
      <c r="B180" s="10" t="s">
        <v>476</v>
      </c>
      <c r="C180" s="10" t="s">
        <v>89</v>
      </c>
      <c r="D180" s="7" t="s">
        <v>192</v>
      </c>
    </row>
    <row r="181" spans="1:4" x14ac:dyDescent="0.25">
      <c r="A181" s="10" t="s">
        <v>477</v>
      </c>
      <c r="B181" s="10" t="s">
        <v>478</v>
      </c>
      <c r="C181" s="10" t="s">
        <v>89</v>
      </c>
      <c r="D181" s="7" t="s">
        <v>192</v>
      </c>
    </row>
    <row r="182" spans="1:4" x14ac:dyDescent="0.25">
      <c r="A182" s="10" t="s">
        <v>479</v>
      </c>
      <c r="B182" s="10" t="s">
        <v>480</v>
      </c>
      <c r="C182" s="10" t="s">
        <v>109</v>
      </c>
      <c r="D182" s="7" t="s">
        <v>481</v>
      </c>
    </row>
    <row r="183" spans="1:4" x14ac:dyDescent="0.25">
      <c r="A183" s="10" t="s">
        <v>482</v>
      </c>
      <c r="B183" s="10" t="s">
        <v>483</v>
      </c>
      <c r="C183" s="10" t="s">
        <v>79</v>
      </c>
      <c r="D183" s="7" t="s">
        <v>111</v>
      </c>
    </row>
    <row r="184" spans="1:4" x14ac:dyDescent="0.25">
      <c r="A184" s="10" t="s">
        <v>484</v>
      </c>
      <c r="B184" s="10" t="s">
        <v>485</v>
      </c>
      <c r="C184" s="10" t="s">
        <v>68</v>
      </c>
      <c r="D184" s="7" t="s">
        <v>486</v>
      </c>
    </row>
    <row r="185" spans="1:4" x14ac:dyDescent="0.25">
      <c r="A185" s="10" t="s">
        <v>487</v>
      </c>
      <c r="B185" s="10" t="s">
        <v>488</v>
      </c>
      <c r="C185" s="10" t="s">
        <v>64</v>
      </c>
      <c r="D185" s="7" t="s">
        <v>98</v>
      </c>
    </row>
    <row r="186" spans="1:4" x14ac:dyDescent="0.25">
      <c r="A186" s="10" t="s">
        <v>489</v>
      </c>
      <c r="B186" s="10" t="s">
        <v>490</v>
      </c>
      <c r="C186" s="10" t="s">
        <v>64</v>
      </c>
      <c r="D186" s="7" t="s">
        <v>98</v>
      </c>
    </row>
    <row r="187" spans="1:4" x14ac:dyDescent="0.25">
      <c r="A187" s="10" t="s">
        <v>491</v>
      </c>
      <c r="B187" s="10" t="s">
        <v>492</v>
      </c>
      <c r="C187" s="10" t="s">
        <v>64</v>
      </c>
      <c r="D187" s="7" t="s">
        <v>98</v>
      </c>
    </row>
    <row r="188" spans="1:4" x14ac:dyDescent="0.25">
      <c r="A188" s="10" t="s">
        <v>493</v>
      </c>
      <c r="B188" s="10" t="s">
        <v>494</v>
      </c>
      <c r="C188" s="10" t="s">
        <v>79</v>
      </c>
      <c r="D188" s="7" t="s">
        <v>80</v>
      </c>
    </row>
    <row r="189" spans="1:4" x14ac:dyDescent="0.25">
      <c r="A189" s="10" t="s">
        <v>495</v>
      </c>
      <c r="B189" s="10" t="s">
        <v>496</v>
      </c>
      <c r="C189" s="10" t="s">
        <v>39</v>
      </c>
      <c r="D189" s="7" t="s">
        <v>305</v>
      </c>
    </row>
    <row r="190" spans="1:4" x14ac:dyDescent="0.25">
      <c r="A190" s="10" t="s">
        <v>497</v>
      </c>
      <c r="B190" s="10" t="s">
        <v>498</v>
      </c>
      <c r="C190" s="10" t="s">
        <v>89</v>
      </c>
      <c r="D190" s="7" t="s">
        <v>499</v>
      </c>
    </row>
    <row r="191" spans="1:4" x14ac:dyDescent="0.25">
      <c r="A191" s="10" t="s">
        <v>30</v>
      </c>
      <c r="B191" s="10" t="s">
        <v>29</v>
      </c>
      <c r="C191" s="10" t="s">
        <v>155</v>
      </c>
      <c r="D191" s="7" t="s">
        <v>316</v>
      </c>
    </row>
    <row r="192" spans="1:4" x14ac:dyDescent="0.25">
      <c r="A192" s="10" t="s">
        <v>500</v>
      </c>
      <c r="B192" s="10" t="s">
        <v>501</v>
      </c>
      <c r="C192" s="10" t="s">
        <v>54</v>
      </c>
      <c r="D192" s="7" t="s">
        <v>172</v>
      </c>
    </row>
    <row r="193" spans="1:4" x14ac:dyDescent="0.25">
      <c r="A193" s="10" t="s">
        <v>502</v>
      </c>
      <c r="B193" s="10" t="s">
        <v>503</v>
      </c>
      <c r="C193" s="10" t="s">
        <v>68</v>
      </c>
      <c r="D193" s="7" t="s">
        <v>285</v>
      </c>
    </row>
    <row r="194" spans="1:4" x14ac:dyDescent="0.25">
      <c r="A194" s="10" t="s">
        <v>504</v>
      </c>
      <c r="B194" s="10" t="s">
        <v>505</v>
      </c>
      <c r="C194" s="10" t="s">
        <v>54</v>
      </c>
      <c r="D194" s="7" t="s">
        <v>58</v>
      </c>
    </row>
    <row r="195" spans="1:4" x14ac:dyDescent="0.25">
      <c r="A195" s="10" t="s">
        <v>506</v>
      </c>
      <c r="B195" s="10" t="s">
        <v>507</v>
      </c>
      <c r="C195" s="10" t="s">
        <v>39</v>
      </c>
      <c r="D195" s="7" t="s">
        <v>508</v>
      </c>
    </row>
    <row r="196" spans="1:4" x14ac:dyDescent="0.25">
      <c r="A196" s="10" t="s">
        <v>509</v>
      </c>
      <c r="B196" s="10" t="s">
        <v>510</v>
      </c>
      <c r="C196" s="10" t="s">
        <v>89</v>
      </c>
      <c r="D196" s="7" t="s">
        <v>511</v>
      </c>
    </row>
    <row r="197" spans="1:4" x14ac:dyDescent="0.25">
      <c r="A197" s="10" t="s">
        <v>512</v>
      </c>
      <c r="B197" s="10" t="s">
        <v>513</v>
      </c>
      <c r="C197" s="10" t="s">
        <v>39</v>
      </c>
      <c r="D197" s="7" t="s">
        <v>305</v>
      </c>
    </row>
    <row r="198" spans="1:4" x14ac:dyDescent="0.25">
      <c r="A198" s="10" t="s">
        <v>514</v>
      </c>
      <c r="B198" s="10" t="s">
        <v>515</v>
      </c>
      <c r="C198" s="10" t="s">
        <v>68</v>
      </c>
      <c r="D198" s="7" t="s">
        <v>516</v>
      </c>
    </row>
    <row r="199" spans="1:4" x14ac:dyDescent="0.25">
      <c r="A199" s="10" t="s">
        <v>517</v>
      </c>
      <c r="B199" s="10" t="s">
        <v>518</v>
      </c>
      <c r="C199" s="10" t="s">
        <v>68</v>
      </c>
      <c r="D199" s="7" t="s">
        <v>206</v>
      </c>
    </row>
    <row r="200" spans="1:4" x14ac:dyDescent="0.25">
      <c r="A200" s="10" t="s">
        <v>519</v>
      </c>
      <c r="B200" s="10" t="s">
        <v>520</v>
      </c>
      <c r="C200" s="10" t="s">
        <v>54</v>
      </c>
      <c r="D200" s="7" t="s">
        <v>61</v>
      </c>
    </row>
    <row r="201" spans="1:4" x14ac:dyDescent="0.25">
      <c r="A201" s="10" t="s">
        <v>521</v>
      </c>
      <c r="B201" s="10" t="s">
        <v>522</v>
      </c>
      <c r="C201" s="10" t="s">
        <v>64</v>
      </c>
      <c r="D201" s="7" t="s">
        <v>98</v>
      </c>
    </row>
    <row r="202" spans="1:4" x14ac:dyDescent="0.25">
      <c r="A202" s="10" t="s">
        <v>523</v>
      </c>
      <c r="B202" s="10" t="s">
        <v>524</v>
      </c>
      <c r="C202" s="10" t="s">
        <v>68</v>
      </c>
      <c r="D202" s="7" t="s">
        <v>516</v>
      </c>
    </row>
    <row r="203" spans="1:4" x14ac:dyDescent="0.25">
      <c r="A203" s="10" t="s">
        <v>525</v>
      </c>
      <c r="B203" s="10" t="s">
        <v>526</v>
      </c>
      <c r="C203" s="10" t="s">
        <v>68</v>
      </c>
      <c r="D203" s="7" t="s">
        <v>516</v>
      </c>
    </row>
    <row r="204" spans="1:4" x14ac:dyDescent="0.25">
      <c r="A204" s="10" t="s">
        <v>527</v>
      </c>
      <c r="B204" s="10" t="s">
        <v>528</v>
      </c>
      <c r="C204" s="10" t="s">
        <v>75</v>
      </c>
      <c r="D204" s="7" t="s">
        <v>302</v>
      </c>
    </row>
    <row r="205" spans="1:4" x14ac:dyDescent="0.25">
      <c r="A205" s="10" t="s">
        <v>529</v>
      </c>
      <c r="B205" s="10" t="s">
        <v>530</v>
      </c>
      <c r="C205" s="10" t="s">
        <v>79</v>
      </c>
      <c r="D205" s="7" t="s">
        <v>531</v>
      </c>
    </row>
    <row r="206" spans="1:4" x14ac:dyDescent="0.25">
      <c r="A206" s="10" t="s">
        <v>532</v>
      </c>
      <c r="B206" s="10" t="s">
        <v>533</v>
      </c>
      <c r="C206" s="10" t="s">
        <v>54</v>
      </c>
      <c r="D206" s="7" t="s">
        <v>534</v>
      </c>
    </row>
    <row r="207" spans="1:4" x14ac:dyDescent="0.25">
      <c r="A207" s="10" t="s">
        <v>535</v>
      </c>
      <c r="B207" s="10" t="s">
        <v>536</v>
      </c>
      <c r="C207" s="10" t="s">
        <v>39</v>
      </c>
      <c r="D207" s="7" t="s">
        <v>427</v>
      </c>
    </row>
    <row r="208" spans="1:4" x14ac:dyDescent="0.25">
      <c r="A208" s="10" t="s">
        <v>537</v>
      </c>
      <c r="B208" s="10" t="s">
        <v>538</v>
      </c>
      <c r="C208" s="10" t="s">
        <v>104</v>
      </c>
      <c r="D208" s="7" t="s">
        <v>539</v>
      </c>
    </row>
    <row r="209" spans="1:4" x14ac:dyDescent="0.25">
      <c r="A209" s="10" t="s">
        <v>540</v>
      </c>
      <c r="B209" s="10" t="s">
        <v>538</v>
      </c>
      <c r="C209" s="10" t="s">
        <v>104</v>
      </c>
      <c r="D209" s="7" t="s">
        <v>539</v>
      </c>
    </row>
    <row r="210" spans="1:4" x14ac:dyDescent="0.25">
      <c r="A210" s="10" t="s">
        <v>541</v>
      </c>
      <c r="B210" s="10" t="s">
        <v>542</v>
      </c>
      <c r="C210" s="10" t="s">
        <v>68</v>
      </c>
      <c r="D210" s="7" t="s">
        <v>137</v>
      </c>
    </row>
    <row r="211" spans="1:4" x14ac:dyDescent="0.25">
      <c r="A211" s="10" t="s">
        <v>543</v>
      </c>
      <c r="B211" s="10" t="s">
        <v>544</v>
      </c>
      <c r="C211" s="10" t="s">
        <v>75</v>
      </c>
      <c r="D211" s="7" t="s">
        <v>545</v>
      </c>
    </row>
    <row r="212" spans="1:4" x14ac:dyDescent="0.25">
      <c r="A212" s="10" t="s">
        <v>546</v>
      </c>
      <c r="B212" s="10" t="s">
        <v>547</v>
      </c>
      <c r="C212" s="10" t="s">
        <v>79</v>
      </c>
      <c r="D212" s="7" t="s">
        <v>548</v>
      </c>
    </row>
    <row r="213" spans="1:4" x14ac:dyDescent="0.25">
      <c r="A213" s="10" t="s">
        <v>549</v>
      </c>
      <c r="B213" s="10" t="s">
        <v>550</v>
      </c>
      <c r="C213" s="10" t="s">
        <v>54</v>
      </c>
      <c r="D213" s="7" t="s">
        <v>55</v>
      </c>
    </row>
    <row r="214" spans="1:4" x14ac:dyDescent="0.25">
      <c r="A214" s="10" t="s">
        <v>551</v>
      </c>
      <c r="B214" s="10" t="s">
        <v>552</v>
      </c>
      <c r="C214" s="10" t="s">
        <v>47</v>
      </c>
      <c r="D214" s="7" t="s">
        <v>48</v>
      </c>
    </row>
    <row r="215" spans="1:4" x14ac:dyDescent="0.25">
      <c r="A215" s="10" t="s">
        <v>553</v>
      </c>
      <c r="B215" s="10" t="s">
        <v>554</v>
      </c>
      <c r="C215" s="10" t="s">
        <v>54</v>
      </c>
      <c r="D215" s="7" t="s">
        <v>534</v>
      </c>
    </row>
    <row r="216" spans="1:4" x14ac:dyDescent="0.25">
      <c r="A216" s="10" t="s">
        <v>555</v>
      </c>
      <c r="B216" s="10" t="s">
        <v>556</v>
      </c>
      <c r="C216" s="10" t="s">
        <v>39</v>
      </c>
      <c r="D216" s="7" t="s">
        <v>140</v>
      </c>
    </row>
    <row r="217" spans="1:4" x14ac:dyDescent="0.25">
      <c r="A217" s="10" t="s">
        <v>557</v>
      </c>
      <c r="B217" s="10" t="s">
        <v>558</v>
      </c>
      <c r="C217" s="10" t="s">
        <v>39</v>
      </c>
      <c r="D217" s="7" t="s">
        <v>197</v>
      </c>
    </row>
    <row r="218" spans="1:4" x14ac:dyDescent="0.25">
      <c r="A218" s="10" t="s">
        <v>559</v>
      </c>
      <c r="B218" s="10" t="s">
        <v>9</v>
      </c>
      <c r="C218" s="10" t="s">
        <v>39</v>
      </c>
      <c r="D218" s="7" t="s">
        <v>41</v>
      </c>
    </row>
    <row r="219" spans="1:4" x14ac:dyDescent="0.25">
      <c r="A219" s="10" t="s">
        <v>560</v>
      </c>
      <c r="B219" s="10" t="s">
        <v>561</v>
      </c>
      <c r="C219" s="10" t="s">
        <v>109</v>
      </c>
      <c r="D219" s="7" t="s">
        <v>266</v>
      </c>
    </row>
    <row r="220" spans="1:4" x14ac:dyDescent="0.25">
      <c r="A220" s="10" t="s">
        <v>562</v>
      </c>
      <c r="B220" s="10" t="s">
        <v>563</v>
      </c>
      <c r="C220" s="10" t="s">
        <v>79</v>
      </c>
      <c r="D220" s="7" t="s">
        <v>531</v>
      </c>
    </row>
    <row r="221" spans="1:4" x14ac:dyDescent="0.25">
      <c r="A221" s="10" t="s">
        <v>564</v>
      </c>
      <c r="B221" s="10" t="s">
        <v>565</v>
      </c>
      <c r="C221" s="10" t="s">
        <v>79</v>
      </c>
      <c r="D221" s="7" t="s">
        <v>566</v>
      </c>
    </row>
    <row r="222" spans="1:4" x14ac:dyDescent="0.25">
      <c r="A222" s="10" t="s">
        <v>567</v>
      </c>
      <c r="B222" s="10" t="s">
        <v>568</v>
      </c>
      <c r="C222" s="10" t="s">
        <v>47</v>
      </c>
      <c r="D222" s="7" t="s">
        <v>51</v>
      </c>
    </row>
    <row r="223" spans="1:4" x14ac:dyDescent="0.25">
      <c r="A223" s="10" t="s">
        <v>569</v>
      </c>
      <c r="B223" s="10" t="s">
        <v>570</v>
      </c>
      <c r="C223" s="10" t="s">
        <v>68</v>
      </c>
      <c r="D223" s="7" t="s">
        <v>516</v>
      </c>
    </row>
    <row r="224" spans="1:4" x14ac:dyDescent="0.25">
      <c r="A224" s="10" t="s">
        <v>571</v>
      </c>
      <c r="B224" s="10" t="s">
        <v>572</v>
      </c>
      <c r="C224" s="10" t="s">
        <v>68</v>
      </c>
      <c r="D224" s="7" t="s">
        <v>69</v>
      </c>
    </row>
    <row r="225" spans="1:4" x14ac:dyDescent="0.25">
      <c r="A225" s="10" t="s">
        <v>573</v>
      </c>
      <c r="B225" s="10" t="s">
        <v>10</v>
      </c>
      <c r="C225" s="10" t="s">
        <v>68</v>
      </c>
      <c r="D225" s="7" t="s">
        <v>310</v>
      </c>
    </row>
    <row r="226" spans="1:4" x14ac:dyDescent="0.25">
      <c r="A226" s="10" t="s">
        <v>574</v>
      </c>
      <c r="B226" s="10" t="s">
        <v>575</v>
      </c>
      <c r="C226" s="10" t="s">
        <v>155</v>
      </c>
      <c r="D226" s="7" t="s">
        <v>200</v>
      </c>
    </row>
    <row r="227" spans="1:4" x14ac:dyDescent="0.25">
      <c r="A227" s="10" t="s">
        <v>576</v>
      </c>
      <c r="B227" s="10" t="s">
        <v>577</v>
      </c>
      <c r="C227" s="10" t="s">
        <v>68</v>
      </c>
      <c r="D227" s="7" t="s">
        <v>101</v>
      </c>
    </row>
    <row r="228" spans="1:4" x14ac:dyDescent="0.25">
      <c r="A228" s="10" t="s">
        <v>578</v>
      </c>
      <c r="B228" s="10" t="s">
        <v>579</v>
      </c>
      <c r="C228" s="10" t="s">
        <v>79</v>
      </c>
      <c r="D228" s="7" t="s">
        <v>580</v>
      </c>
    </row>
    <row r="229" spans="1:4" x14ac:dyDescent="0.25">
      <c r="A229" s="10" t="s">
        <v>581</v>
      </c>
      <c r="B229" s="10" t="s">
        <v>582</v>
      </c>
      <c r="C229" s="10" t="s">
        <v>47</v>
      </c>
      <c r="D229" s="7" t="s">
        <v>583</v>
      </c>
    </row>
    <row r="230" spans="1:4" x14ac:dyDescent="0.25">
      <c r="A230" s="10" t="s">
        <v>584</v>
      </c>
      <c r="B230" s="10" t="s">
        <v>585</v>
      </c>
      <c r="C230" s="10" t="s">
        <v>89</v>
      </c>
      <c r="D230" s="7" t="s">
        <v>586</v>
      </c>
    </row>
    <row r="231" spans="1:4" x14ac:dyDescent="0.25">
      <c r="A231" s="10" t="s">
        <v>587</v>
      </c>
      <c r="B231" s="10" t="s">
        <v>588</v>
      </c>
      <c r="C231" s="10" t="s">
        <v>47</v>
      </c>
      <c r="D231" s="7" t="s">
        <v>271</v>
      </c>
    </row>
    <row r="232" spans="1:4" x14ac:dyDescent="0.25">
      <c r="A232" s="10" t="s">
        <v>589</v>
      </c>
      <c r="B232" s="10" t="s">
        <v>590</v>
      </c>
      <c r="C232" s="10" t="s">
        <v>109</v>
      </c>
      <c r="D232" s="7" t="s">
        <v>266</v>
      </c>
    </row>
    <row r="233" spans="1:4" x14ac:dyDescent="0.25">
      <c r="A233" s="10" t="s">
        <v>591</v>
      </c>
      <c r="B233" s="10" t="s">
        <v>592</v>
      </c>
      <c r="C233" s="10" t="s">
        <v>155</v>
      </c>
      <c r="D233" s="7" t="s">
        <v>316</v>
      </c>
    </row>
    <row r="234" spans="1:4" x14ac:dyDescent="0.25">
      <c r="A234" s="10" t="s">
        <v>593</v>
      </c>
      <c r="B234" s="10" t="s">
        <v>594</v>
      </c>
      <c r="C234" s="10" t="s">
        <v>54</v>
      </c>
      <c r="D234" s="7" t="s">
        <v>158</v>
      </c>
    </row>
    <row r="235" spans="1:4" x14ac:dyDescent="0.25">
      <c r="A235" s="10" t="s">
        <v>595</v>
      </c>
      <c r="B235" s="10" t="s">
        <v>596</v>
      </c>
      <c r="C235" s="10" t="s">
        <v>79</v>
      </c>
      <c r="D235" s="7" t="s">
        <v>80</v>
      </c>
    </row>
    <row r="236" spans="1:4" x14ac:dyDescent="0.25">
      <c r="A236" s="10" t="s">
        <v>597</v>
      </c>
      <c r="B236" s="10" t="s">
        <v>598</v>
      </c>
      <c r="C236" s="10" t="s">
        <v>47</v>
      </c>
      <c r="D236" s="7" t="s">
        <v>48</v>
      </c>
    </row>
    <row r="237" spans="1:4" x14ac:dyDescent="0.25">
      <c r="A237" s="10" t="s">
        <v>599</v>
      </c>
      <c r="B237" s="10" t="s">
        <v>600</v>
      </c>
      <c r="C237" s="10" t="s">
        <v>79</v>
      </c>
      <c r="D237" s="7" t="s">
        <v>601</v>
      </c>
    </row>
    <row r="238" spans="1:4" x14ac:dyDescent="0.25">
      <c r="A238" s="10" t="s">
        <v>602</v>
      </c>
      <c r="B238" s="10" t="s">
        <v>603</v>
      </c>
      <c r="C238" s="10" t="s">
        <v>39</v>
      </c>
      <c r="D238" s="7" t="s">
        <v>41</v>
      </c>
    </row>
    <row r="239" spans="1:4" x14ac:dyDescent="0.25">
      <c r="A239" s="10" t="s">
        <v>604</v>
      </c>
      <c r="B239" s="10" t="s">
        <v>605</v>
      </c>
      <c r="C239" s="10" t="s">
        <v>109</v>
      </c>
      <c r="D239" s="7" t="s">
        <v>266</v>
      </c>
    </row>
    <row r="240" spans="1:4" x14ac:dyDescent="0.25">
      <c r="A240" s="10" t="s">
        <v>606</v>
      </c>
      <c r="B240" s="10" t="s">
        <v>607</v>
      </c>
      <c r="C240" s="10" t="s">
        <v>89</v>
      </c>
      <c r="D240" s="7" t="s">
        <v>608</v>
      </c>
    </row>
    <row r="241" spans="1:4" x14ac:dyDescent="0.25">
      <c r="A241" s="10" t="s">
        <v>609</v>
      </c>
      <c r="B241" s="10" t="s">
        <v>610</v>
      </c>
      <c r="C241" s="10" t="s">
        <v>39</v>
      </c>
      <c r="D241" s="7" t="s">
        <v>197</v>
      </c>
    </row>
    <row r="242" spans="1:4" x14ac:dyDescent="0.25">
      <c r="A242" s="10" t="s">
        <v>6</v>
      </c>
      <c r="B242" s="10" t="s">
        <v>611</v>
      </c>
      <c r="C242" s="10" t="s">
        <v>54</v>
      </c>
      <c r="D242" s="7" t="s">
        <v>158</v>
      </c>
    </row>
    <row r="243" spans="1:4" x14ac:dyDescent="0.25">
      <c r="A243" s="10" t="s">
        <v>612</v>
      </c>
      <c r="B243" s="10" t="s">
        <v>613</v>
      </c>
      <c r="C243" s="10" t="s">
        <v>39</v>
      </c>
      <c r="D243" s="7" t="s">
        <v>427</v>
      </c>
    </row>
    <row r="244" spans="1:4" x14ac:dyDescent="0.25">
      <c r="A244" s="10" t="s">
        <v>614</v>
      </c>
      <c r="B244" s="10" t="s">
        <v>615</v>
      </c>
      <c r="C244" s="10" t="s">
        <v>47</v>
      </c>
      <c r="D244" s="7" t="s">
        <v>297</v>
      </c>
    </row>
    <row r="245" spans="1:4" x14ac:dyDescent="0.25">
      <c r="A245" s="10" t="s">
        <v>616</v>
      </c>
      <c r="B245" s="10" t="s">
        <v>617</v>
      </c>
      <c r="C245" s="10" t="s">
        <v>68</v>
      </c>
      <c r="D245" s="7" t="s">
        <v>339</v>
      </c>
    </row>
    <row r="246" spans="1:4" x14ac:dyDescent="0.25">
      <c r="A246" s="10" t="s">
        <v>618</v>
      </c>
      <c r="B246" s="10" t="s">
        <v>619</v>
      </c>
      <c r="C246" s="10" t="s">
        <v>39</v>
      </c>
      <c r="D246" s="7" t="s">
        <v>197</v>
      </c>
    </row>
    <row r="247" spans="1:4" x14ac:dyDescent="0.25">
      <c r="A247" s="10" t="s">
        <v>620</v>
      </c>
      <c r="B247" s="10" t="s">
        <v>620</v>
      </c>
      <c r="C247" s="10" t="s">
        <v>54</v>
      </c>
      <c r="D247" s="7" t="s">
        <v>55</v>
      </c>
    </row>
    <row r="248" spans="1:4" x14ac:dyDescent="0.25">
      <c r="A248" s="10" t="s">
        <v>621</v>
      </c>
      <c r="B248" s="10" t="s">
        <v>622</v>
      </c>
      <c r="C248" s="10" t="s">
        <v>39</v>
      </c>
      <c r="D248" s="7" t="s">
        <v>427</v>
      </c>
    </row>
    <row r="249" spans="1:4" x14ac:dyDescent="0.25">
      <c r="A249" s="10" t="s">
        <v>623</v>
      </c>
      <c r="B249" s="10" t="s">
        <v>624</v>
      </c>
      <c r="C249" s="10" t="s">
        <v>47</v>
      </c>
      <c r="D249" s="7" t="s">
        <v>48</v>
      </c>
    </row>
    <row r="250" spans="1:4" x14ac:dyDescent="0.25">
      <c r="A250" s="10" t="s">
        <v>625</v>
      </c>
      <c r="B250" s="10" t="s">
        <v>626</v>
      </c>
      <c r="C250" s="10" t="s">
        <v>39</v>
      </c>
      <c r="D250" s="7" t="s">
        <v>427</v>
      </c>
    </row>
    <row r="251" spans="1:4" x14ac:dyDescent="0.25">
      <c r="A251" s="10" t="s">
        <v>627</v>
      </c>
      <c r="B251" s="10" t="s">
        <v>628</v>
      </c>
      <c r="C251" s="10" t="s">
        <v>47</v>
      </c>
      <c r="D251" s="7" t="s">
        <v>72</v>
      </c>
    </row>
    <row r="252" spans="1:4" x14ac:dyDescent="0.25">
      <c r="A252" s="10" t="s">
        <v>630</v>
      </c>
      <c r="B252" s="10" t="s">
        <v>629</v>
      </c>
      <c r="C252" s="10" t="s">
        <v>47</v>
      </c>
      <c r="D252" s="7" t="s">
        <v>51</v>
      </c>
    </row>
    <row r="253" spans="1:4" x14ac:dyDescent="0.25">
      <c r="A253" s="10" t="s">
        <v>632</v>
      </c>
      <c r="B253" s="10" t="s">
        <v>631</v>
      </c>
      <c r="C253" s="10" t="s">
        <v>39</v>
      </c>
      <c r="D253" s="7" t="s">
        <v>427</v>
      </c>
    </row>
    <row r="254" spans="1:4" x14ac:dyDescent="0.25">
      <c r="A254" s="10" t="s">
        <v>633</v>
      </c>
      <c r="B254" s="10" t="s">
        <v>634</v>
      </c>
      <c r="C254" s="10" t="s">
        <v>47</v>
      </c>
      <c r="D254" s="7" t="s">
        <v>48</v>
      </c>
    </row>
    <row r="255" spans="1:4" x14ac:dyDescent="0.25">
      <c r="A255" s="10" t="s">
        <v>635</v>
      </c>
      <c r="B255" s="10" t="s">
        <v>636</v>
      </c>
      <c r="C255" s="10" t="s">
        <v>54</v>
      </c>
      <c r="D255" s="7" t="s">
        <v>61</v>
      </c>
    </row>
    <row r="256" spans="1:4" x14ac:dyDescent="0.25">
      <c r="A256" s="10" t="s">
        <v>637</v>
      </c>
      <c r="B256" s="10" t="s">
        <v>638</v>
      </c>
      <c r="C256" s="10" t="s">
        <v>68</v>
      </c>
      <c r="D256" s="7" t="s">
        <v>285</v>
      </c>
    </row>
    <row r="257" spans="1:4" x14ac:dyDescent="0.25">
      <c r="A257" s="10" t="s">
        <v>639</v>
      </c>
      <c r="B257" s="10" t="s">
        <v>640</v>
      </c>
      <c r="C257" s="10" t="s">
        <v>75</v>
      </c>
      <c r="D257" s="7" t="s">
        <v>86</v>
      </c>
    </row>
    <row r="258" spans="1:4" x14ac:dyDescent="0.25">
      <c r="A258" s="10" t="s">
        <v>641</v>
      </c>
      <c r="B258" s="10" t="s">
        <v>642</v>
      </c>
      <c r="C258" s="10" t="s">
        <v>75</v>
      </c>
      <c r="D258" s="7" t="s">
        <v>114</v>
      </c>
    </row>
    <row r="259" spans="1:4" x14ac:dyDescent="0.25">
      <c r="A259" s="10" t="s">
        <v>643</v>
      </c>
      <c r="B259" s="10" t="s">
        <v>644</v>
      </c>
      <c r="C259" s="10" t="s">
        <v>104</v>
      </c>
      <c r="D259" s="7" t="s">
        <v>645</v>
      </c>
    </row>
    <row r="260" spans="1:4" x14ac:dyDescent="0.25">
      <c r="A260" s="10" t="s">
        <v>646</v>
      </c>
      <c r="B260" s="10" t="s">
        <v>647</v>
      </c>
      <c r="C260" s="10" t="s">
        <v>54</v>
      </c>
      <c r="D260" s="7" t="s">
        <v>58</v>
      </c>
    </row>
    <row r="261" spans="1:4" x14ac:dyDescent="0.25">
      <c r="A261" s="10" t="s">
        <v>648</v>
      </c>
      <c r="B261" s="10" t="s">
        <v>649</v>
      </c>
      <c r="C261" s="10" t="s">
        <v>47</v>
      </c>
      <c r="D261" s="7" t="s">
        <v>48</v>
      </c>
    </row>
    <row r="262" spans="1:4" x14ac:dyDescent="0.25">
      <c r="A262" s="10" t="s">
        <v>650</v>
      </c>
      <c r="B262" s="10" t="s">
        <v>651</v>
      </c>
      <c r="C262" s="10" t="s">
        <v>68</v>
      </c>
      <c r="D262" s="7" t="s">
        <v>137</v>
      </c>
    </row>
    <row r="263" spans="1:4" x14ac:dyDescent="0.25">
      <c r="A263" s="10" t="s">
        <v>652</v>
      </c>
      <c r="B263" s="10" t="s">
        <v>653</v>
      </c>
      <c r="C263" s="10" t="s">
        <v>89</v>
      </c>
      <c r="D263" s="7" t="s">
        <v>654</v>
      </c>
    </row>
    <row r="264" spans="1:4" x14ac:dyDescent="0.25">
      <c r="A264" s="10" t="s">
        <v>655</v>
      </c>
      <c r="B264" s="10" t="s">
        <v>656</v>
      </c>
      <c r="C264" s="10" t="s">
        <v>47</v>
      </c>
      <c r="D264" s="7" t="s">
        <v>72</v>
      </c>
    </row>
    <row r="265" spans="1:4" x14ac:dyDescent="0.25">
      <c r="A265" s="10" t="s">
        <v>657</v>
      </c>
      <c r="B265" s="10" t="s">
        <v>658</v>
      </c>
      <c r="C265" s="10" t="s">
        <v>89</v>
      </c>
      <c r="D265" s="7" t="s">
        <v>659</v>
      </c>
    </row>
    <row r="266" spans="1:4" x14ac:dyDescent="0.25">
      <c r="A266" s="10" t="s">
        <v>660</v>
      </c>
      <c r="B266" s="10" t="s">
        <v>661</v>
      </c>
      <c r="C266" s="10" t="s">
        <v>39</v>
      </c>
      <c r="D266" s="7" t="s">
        <v>662</v>
      </c>
    </row>
    <row r="267" spans="1:4" x14ac:dyDescent="0.25">
      <c r="A267" s="10" t="s">
        <v>663</v>
      </c>
      <c r="B267" s="10" t="s">
        <v>664</v>
      </c>
      <c r="C267" s="10" t="s">
        <v>54</v>
      </c>
      <c r="D267" s="7" t="s">
        <v>665</v>
      </c>
    </row>
    <row r="268" spans="1:4" x14ac:dyDescent="0.25">
      <c r="A268" s="10" t="s">
        <v>666</v>
      </c>
      <c r="B268" s="10" t="s">
        <v>667</v>
      </c>
      <c r="C268" s="10" t="s">
        <v>68</v>
      </c>
      <c r="D268" s="7" t="s">
        <v>516</v>
      </c>
    </row>
    <row r="269" spans="1:4" x14ac:dyDescent="0.25">
      <c r="A269" s="10" t="s">
        <v>668</v>
      </c>
      <c r="B269" s="10" t="s">
        <v>669</v>
      </c>
      <c r="C269" s="10" t="s">
        <v>39</v>
      </c>
      <c r="D269" s="7" t="s">
        <v>670</v>
      </c>
    </row>
    <row r="270" spans="1:4" x14ac:dyDescent="0.25">
      <c r="A270" s="10" t="s">
        <v>5</v>
      </c>
      <c r="B270" s="10" t="s">
        <v>671</v>
      </c>
      <c r="C270" s="10" t="s">
        <v>47</v>
      </c>
      <c r="D270" s="7" t="s">
        <v>242</v>
      </c>
    </row>
    <row r="271" spans="1:4" x14ac:dyDescent="0.25">
      <c r="A271" s="10" t="s">
        <v>672</v>
      </c>
      <c r="B271" s="10" t="s">
        <v>673</v>
      </c>
      <c r="C271" s="10" t="s">
        <v>39</v>
      </c>
      <c r="D271" s="7" t="s">
        <v>44</v>
      </c>
    </row>
    <row r="272" spans="1:4" x14ac:dyDescent="0.25">
      <c r="A272" s="10" t="s">
        <v>674</v>
      </c>
      <c r="B272" s="10" t="s">
        <v>675</v>
      </c>
      <c r="C272" s="10" t="s">
        <v>68</v>
      </c>
      <c r="D272" s="7" t="s">
        <v>206</v>
      </c>
    </row>
    <row r="273" spans="1:4" x14ac:dyDescent="0.25">
      <c r="A273" s="10" t="s">
        <v>676</v>
      </c>
      <c r="B273" s="10" t="s">
        <v>677</v>
      </c>
      <c r="C273" s="10" t="s">
        <v>54</v>
      </c>
      <c r="D273" s="7" t="s">
        <v>172</v>
      </c>
    </row>
    <row r="274" spans="1:4" x14ac:dyDescent="0.25">
      <c r="A274" s="10" t="s">
        <v>678</v>
      </c>
      <c r="B274" s="10" t="s">
        <v>679</v>
      </c>
      <c r="C274" s="10" t="s">
        <v>109</v>
      </c>
      <c r="D274" s="7" t="s">
        <v>266</v>
      </c>
    </row>
    <row r="275" spans="1:4" x14ac:dyDescent="0.25">
      <c r="A275" s="10" t="s">
        <v>680</v>
      </c>
      <c r="B275" s="10" t="s">
        <v>681</v>
      </c>
      <c r="C275" s="10" t="s">
        <v>109</v>
      </c>
      <c r="D275" s="7" t="s">
        <v>481</v>
      </c>
    </row>
    <row r="276" spans="1:4" x14ac:dyDescent="0.25">
      <c r="A276" s="10" t="s">
        <v>682</v>
      </c>
      <c r="B276" s="10" t="s">
        <v>683</v>
      </c>
      <c r="C276" s="10" t="s">
        <v>109</v>
      </c>
      <c r="D276" s="7" t="s">
        <v>348</v>
      </c>
    </row>
    <row r="277" spans="1:4" x14ac:dyDescent="0.25">
      <c r="A277" s="10" t="s">
        <v>684</v>
      </c>
      <c r="B277" s="10" t="s">
        <v>685</v>
      </c>
      <c r="C277" s="10" t="s">
        <v>68</v>
      </c>
      <c r="D277" s="7" t="s">
        <v>339</v>
      </c>
    </row>
    <row r="278" spans="1:4" x14ac:dyDescent="0.25">
      <c r="A278" s="10" t="s">
        <v>686</v>
      </c>
      <c r="B278" s="10" t="s">
        <v>687</v>
      </c>
      <c r="C278" s="10" t="s">
        <v>54</v>
      </c>
      <c r="D278" s="7" t="s">
        <v>688</v>
      </c>
    </row>
    <row r="279" spans="1:4" x14ac:dyDescent="0.25">
      <c r="A279" s="10" t="s">
        <v>689</v>
      </c>
      <c r="B279" s="10" t="s">
        <v>690</v>
      </c>
      <c r="C279" s="10" t="s">
        <v>109</v>
      </c>
      <c r="D279" s="7" t="s">
        <v>324</v>
      </c>
    </row>
    <row r="280" spans="1:4" x14ac:dyDescent="0.25">
      <c r="A280" s="10" t="s">
        <v>691</v>
      </c>
      <c r="B280" s="10" t="s">
        <v>692</v>
      </c>
      <c r="C280" s="10" t="s">
        <v>89</v>
      </c>
      <c r="D280" s="7" t="s">
        <v>511</v>
      </c>
    </row>
    <row r="281" spans="1:4" x14ac:dyDescent="0.25">
      <c r="A281" s="10" t="s">
        <v>693</v>
      </c>
      <c r="B281" s="10" t="s">
        <v>694</v>
      </c>
      <c r="C281" s="10" t="s">
        <v>155</v>
      </c>
      <c r="D281" s="7" t="s">
        <v>695</v>
      </c>
    </row>
    <row r="282" spans="1:4" x14ac:dyDescent="0.25">
      <c r="A282" s="10" t="s">
        <v>696</v>
      </c>
      <c r="B282" s="10" t="s">
        <v>697</v>
      </c>
      <c r="C282" s="10" t="s">
        <v>54</v>
      </c>
      <c r="D282" s="7" t="s">
        <v>161</v>
      </c>
    </row>
    <row r="283" spans="1:4" x14ac:dyDescent="0.25">
      <c r="A283" s="10" t="s">
        <v>698</v>
      </c>
      <c r="B283" s="10" t="s">
        <v>699</v>
      </c>
      <c r="C283" s="10" t="s">
        <v>109</v>
      </c>
      <c r="D283" s="7" t="s">
        <v>266</v>
      </c>
    </row>
    <row r="284" spans="1:4" x14ac:dyDescent="0.25">
      <c r="A284" s="10" t="s">
        <v>700</v>
      </c>
      <c r="B284" s="10" t="s">
        <v>701</v>
      </c>
      <c r="C284" s="10" t="s">
        <v>109</v>
      </c>
      <c r="D284" s="7" t="s">
        <v>702</v>
      </c>
    </row>
    <row r="285" spans="1:4" x14ac:dyDescent="0.25">
      <c r="A285" s="10" t="s">
        <v>703</v>
      </c>
      <c r="B285" s="10" t="s">
        <v>704</v>
      </c>
      <c r="C285" s="10" t="s">
        <v>39</v>
      </c>
      <c r="D285" s="7" t="s">
        <v>197</v>
      </c>
    </row>
    <row r="286" spans="1:4" x14ac:dyDescent="0.25">
      <c r="A286" s="10" t="s">
        <v>705</v>
      </c>
      <c r="B286" s="10" t="s">
        <v>706</v>
      </c>
      <c r="C286" s="10" t="s">
        <v>47</v>
      </c>
      <c r="D286" s="7" t="s">
        <v>327</v>
      </c>
    </row>
    <row r="287" spans="1:4" x14ac:dyDescent="0.25">
      <c r="A287" s="10" t="s">
        <v>707</v>
      </c>
      <c r="B287" s="10" t="s">
        <v>708</v>
      </c>
      <c r="C287" s="10" t="s">
        <v>54</v>
      </c>
      <c r="D287" s="7" t="s">
        <v>161</v>
      </c>
    </row>
    <row r="288" spans="1:4" x14ac:dyDescent="0.25">
      <c r="A288" s="10" t="s">
        <v>709</v>
      </c>
      <c r="B288" s="10" t="s">
        <v>710</v>
      </c>
      <c r="C288" s="10" t="s">
        <v>109</v>
      </c>
      <c r="D288" s="7" t="s">
        <v>266</v>
      </c>
    </row>
    <row r="289" spans="1:4" x14ac:dyDescent="0.25">
      <c r="A289" s="10" t="s">
        <v>711</v>
      </c>
      <c r="B289" s="10" t="s">
        <v>712</v>
      </c>
      <c r="C289" s="10" t="s">
        <v>79</v>
      </c>
      <c r="D289" s="7" t="s">
        <v>261</v>
      </c>
    </row>
    <row r="290" spans="1:4" x14ac:dyDescent="0.25">
      <c r="A290" s="10" t="s">
        <v>713</v>
      </c>
      <c r="B290" s="10" t="s">
        <v>714</v>
      </c>
      <c r="C290" s="10" t="s">
        <v>39</v>
      </c>
      <c r="D290" s="7" t="s">
        <v>332</v>
      </c>
    </row>
    <row r="291" spans="1:4" x14ac:dyDescent="0.25">
      <c r="A291" s="10" t="s">
        <v>715</v>
      </c>
      <c r="B291" s="10" t="s">
        <v>716</v>
      </c>
      <c r="C291" s="10" t="s">
        <v>79</v>
      </c>
      <c r="D291" s="7" t="s">
        <v>433</v>
      </c>
    </row>
    <row r="292" spans="1:4" x14ac:dyDescent="0.25">
      <c r="A292" s="10" t="s">
        <v>717</v>
      </c>
      <c r="B292" s="10" t="s">
        <v>718</v>
      </c>
      <c r="C292" s="10" t="s">
        <v>75</v>
      </c>
      <c r="D292" s="7" t="s">
        <v>76</v>
      </c>
    </row>
    <row r="293" spans="1:4" x14ac:dyDescent="0.25">
      <c r="A293" s="10" t="s">
        <v>719</v>
      </c>
      <c r="B293" s="10" t="s">
        <v>720</v>
      </c>
      <c r="C293" s="10" t="s">
        <v>104</v>
      </c>
      <c r="D293" s="7" t="s">
        <v>721</v>
      </c>
    </row>
    <row r="294" spans="1:4" x14ac:dyDescent="0.25">
      <c r="A294" s="10" t="s">
        <v>722</v>
      </c>
      <c r="B294" s="10" t="s">
        <v>723</v>
      </c>
      <c r="C294" s="10" t="s">
        <v>79</v>
      </c>
      <c r="D294" s="7" t="s">
        <v>566</v>
      </c>
    </row>
    <row r="295" spans="1:4" x14ac:dyDescent="0.25">
      <c r="A295" s="10" t="s">
        <v>724</v>
      </c>
      <c r="B295" s="10" t="s">
        <v>725</v>
      </c>
      <c r="C295" s="10" t="s">
        <v>39</v>
      </c>
      <c r="D295" s="7" t="s">
        <v>197</v>
      </c>
    </row>
    <row r="296" spans="1:4" x14ac:dyDescent="0.25">
      <c r="A296" s="10" t="s">
        <v>726</v>
      </c>
      <c r="B296" s="10" t="s">
        <v>727</v>
      </c>
      <c r="C296" s="10" t="s">
        <v>68</v>
      </c>
      <c r="D296" s="7" t="s">
        <v>128</v>
      </c>
    </row>
    <row r="297" spans="1:4" x14ac:dyDescent="0.25">
      <c r="A297" s="10" t="s">
        <v>728</v>
      </c>
      <c r="B297" s="10" t="s">
        <v>729</v>
      </c>
      <c r="C297" s="10" t="s">
        <v>79</v>
      </c>
      <c r="D297" s="7" t="s">
        <v>601</v>
      </c>
    </row>
    <row r="298" spans="1:4" x14ac:dyDescent="0.25">
      <c r="A298" s="10" t="s">
        <v>730</v>
      </c>
      <c r="B298" s="10" t="s">
        <v>731</v>
      </c>
      <c r="C298" s="10" t="s">
        <v>79</v>
      </c>
      <c r="D298" s="7" t="s">
        <v>732</v>
      </c>
    </row>
    <row r="299" spans="1:4" x14ac:dyDescent="0.25">
      <c r="A299" s="10" t="s">
        <v>733</v>
      </c>
      <c r="B299" s="10" t="s">
        <v>734</v>
      </c>
      <c r="C299" s="10" t="s">
        <v>75</v>
      </c>
      <c r="D299" s="7" t="s">
        <v>86</v>
      </c>
    </row>
    <row r="300" spans="1:4" x14ac:dyDescent="0.25">
      <c r="A300" s="10" t="s">
        <v>735</v>
      </c>
      <c r="B300" s="10" t="s">
        <v>736</v>
      </c>
      <c r="C300" s="10" t="s">
        <v>68</v>
      </c>
      <c r="D300" s="7" t="s">
        <v>339</v>
      </c>
    </row>
    <row r="301" spans="1:4" x14ac:dyDescent="0.25">
      <c r="A301" s="10" t="s">
        <v>737</v>
      </c>
      <c r="B301" s="10" t="s">
        <v>738</v>
      </c>
      <c r="C301" s="10" t="s">
        <v>155</v>
      </c>
      <c r="D301" s="7" t="s">
        <v>156</v>
      </c>
    </row>
    <row r="302" spans="1:4" x14ac:dyDescent="0.25">
      <c r="A302" s="10" t="s">
        <v>739</v>
      </c>
      <c r="B302" s="10" t="s">
        <v>740</v>
      </c>
      <c r="C302" s="10" t="s">
        <v>155</v>
      </c>
      <c r="D302" s="7" t="s">
        <v>741</v>
      </c>
    </row>
    <row r="303" spans="1:4" x14ac:dyDescent="0.25">
      <c r="A303" s="10" t="s">
        <v>742</v>
      </c>
      <c r="B303" s="10" t="s">
        <v>743</v>
      </c>
      <c r="C303" s="10" t="s">
        <v>68</v>
      </c>
      <c r="D303" s="7" t="s">
        <v>285</v>
      </c>
    </row>
    <row r="304" spans="1:4" x14ac:dyDescent="0.25">
      <c r="A304" s="10" t="s">
        <v>744</v>
      </c>
      <c r="B304" s="10" t="s">
        <v>745</v>
      </c>
      <c r="C304" s="10" t="s">
        <v>79</v>
      </c>
      <c r="D304" s="7" t="s">
        <v>80</v>
      </c>
    </row>
    <row r="305" spans="1:4" x14ac:dyDescent="0.25">
      <c r="A305" s="10" t="s">
        <v>746</v>
      </c>
      <c r="B305" s="10" t="s">
        <v>747</v>
      </c>
      <c r="C305" s="10" t="s">
        <v>68</v>
      </c>
      <c r="D305" s="7" t="s">
        <v>152</v>
      </c>
    </row>
    <row r="306" spans="1:4" x14ac:dyDescent="0.25">
      <c r="A306" s="10" t="s">
        <v>748</v>
      </c>
      <c r="B306" s="10" t="s">
        <v>749</v>
      </c>
      <c r="C306" s="10" t="s">
        <v>75</v>
      </c>
      <c r="D306" s="7" t="s">
        <v>750</v>
      </c>
    </row>
    <row r="307" spans="1:4" x14ac:dyDescent="0.25">
      <c r="A307" s="10" t="s">
        <v>751</v>
      </c>
      <c r="B307" s="10" t="s">
        <v>752</v>
      </c>
      <c r="C307" s="10" t="s">
        <v>39</v>
      </c>
      <c r="D307" s="7" t="s">
        <v>44</v>
      </c>
    </row>
    <row r="308" spans="1:4" x14ac:dyDescent="0.25">
      <c r="A308" s="10" t="s">
        <v>753</v>
      </c>
      <c r="B308" s="10" t="s">
        <v>754</v>
      </c>
      <c r="C308" s="10" t="s">
        <v>68</v>
      </c>
      <c r="D308" s="7" t="s">
        <v>516</v>
      </c>
    </row>
    <row r="309" spans="1:4" x14ac:dyDescent="0.25">
      <c r="A309" s="10" t="s">
        <v>755</v>
      </c>
      <c r="B309" s="10" t="s">
        <v>756</v>
      </c>
      <c r="C309" s="10" t="s">
        <v>104</v>
      </c>
      <c r="D309" s="7" t="s">
        <v>105</v>
      </c>
    </row>
    <row r="310" spans="1:4" x14ac:dyDescent="0.25">
      <c r="A310" s="10" t="s">
        <v>757</v>
      </c>
      <c r="B310" s="10" t="s">
        <v>758</v>
      </c>
      <c r="C310" s="10" t="s">
        <v>109</v>
      </c>
      <c r="D310" s="7" t="s">
        <v>266</v>
      </c>
    </row>
    <row r="311" spans="1:4" x14ac:dyDescent="0.25">
      <c r="A311" s="10" t="s">
        <v>759</v>
      </c>
      <c r="B311" s="10" t="s">
        <v>760</v>
      </c>
      <c r="C311" s="10" t="s">
        <v>79</v>
      </c>
      <c r="D311" s="7" t="s">
        <v>319</v>
      </c>
    </row>
    <row r="312" spans="1:4" x14ac:dyDescent="0.25">
      <c r="A312" s="10" t="s">
        <v>761</v>
      </c>
      <c r="B312" s="10" t="s">
        <v>762</v>
      </c>
      <c r="C312" s="10" t="s">
        <v>47</v>
      </c>
      <c r="D312" s="7" t="s">
        <v>271</v>
      </c>
    </row>
    <row r="313" spans="1:4" x14ac:dyDescent="0.25">
      <c r="A313" s="10" t="s">
        <v>763</v>
      </c>
      <c r="B313" s="10" t="s">
        <v>764</v>
      </c>
      <c r="C313" s="10" t="s">
        <v>47</v>
      </c>
      <c r="D313" s="7" t="s">
        <v>48</v>
      </c>
    </row>
    <row r="314" spans="1:4" x14ac:dyDescent="0.25">
      <c r="A314" s="10" t="s">
        <v>4</v>
      </c>
      <c r="B314" s="10" t="s">
        <v>765</v>
      </c>
      <c r="C314" s="10" t="s">
        <v>47</v>
      </c>
      <c r="D314" s="7" t="s">
        <v>242</v>
      </c>
    </row>
    <row r="315" spans="1:4" x14ac:dyDescent="0.25">
      <c r="A315" s="10" t="s">
        <v>25</v>
      </c>
      <c r="B315" s="10" t="s">
        <v>766</v>
      </c>
      <c r="C315" s="10" t="s">
        <v>104</v>
      </c>
      <c r="D315" s="7" t="s">
        <v>105</v>
      </c>
    </row>
    <row r="316" spans="1:4" x14ac:dyDescent="0.25">
      <c r="A316" s="10" t="s">
        <v>767</v>
      </c>
      <c r="B316" s="10" t="s">
        <v>768</v>
      </c>
      <c r="C316" s="10" t="s">
        <v>68</v>
      </c>
      <c r="D316" s="7" t="s">
        <v>69</v>
      </c>
    </row>
    <row r="317" spans="1:4" x14ac:dyDescent="0.25">
      <c r="A317" s="10" t="s">
        <v>769</v>
      </c>
      <c r="B317" s="10" t="s">
        <v>770</v>
      </c>
      <c r="C317" s="10" t="s">
        <v>47</v>
      </c>
      <c r="D317" s="7" t="s">
        <v>72</v>
      </c>
    </row>
    <row r="318" spans="1:4" x14ac:dyDescent="0.25">
      <c r="A318" s="10" t="s">
        <v>771</v>
      </c>
      <c r="B318" s="10" t="s">
        <v>772</v>
      </c>
      <c r="C318" s="10" t="s">
        <v>79</v>
      </c>
      <c r="D318" s="7" t="s">
        <v>261</v>
      </c>
    </row>
    <row r="319" spans="1:4" x14ac:dyDescent="0.25">
      <c r="A319" s="10" t="s">
        <v>773</v>
      </c>
      <c r="B319" s="10" t="s">
        <v>774</v>
      </c>
      <c r="C319" s="10" t="s">
        <v>54</v>
      </c>
      <c r="D319" s="7" t="s">
        <v>61</v>
      </c>
    </row>
    <row r="320" spans="1:4" x14ac:dyDescent="0.25">
      <c r="A320" s="10" t="s">
        <v>775</v>
      </c>
      <c r="B320" s="10" t="s">
        <v>776</v>
      </c>
      <c r="C320" s="10" t="s">
        <v>54</v>
      </c>
      <c r="D320" s="7" t="s">
        <v>61</v>
      </c>
    </row>
    <row r="321" spans="1:4" x14ac:dyDescent="0.25">
      <c r="A321" s="10" t="s">
        <v>777</v>
      </c>
      <c r="B321" s="10" t="s">
        <v>778</v>
      </c>
      <c r="C321" s="10" t="s">
        <v>54</v>
      </c>
      <c r="D321" s="7" t="s">
        <v>534</v>
      </c>
    </row>
    <row r="322" spans="1:4" x14ac:dyDescent="0.25">
      <c r="A322" s="10" t="s">
        <v>779</v>
      </c>
      <c r="B322" s="10" t="s">
        <v>780</v>
      </c>
      <c r="C322" s="10" t="s">
        <v>89</v>
      </c>
      <c r="D322" s="7" t="s">
        <v>192</v>
      </c>
    </row>
    <row r="323" spans="1:4" x14ac:dyDescent="0.25">
      <c r="A323" s="10" t="s">
        <v>781</v>
      </c>
      <c r="B323" s="10" t="s">
        <v>782</v>
      </c>
      <c r="C323" s="10" t="s">
        <v>47</v>
      </c>
      <c r="D323" s="7" t="s">
        <v>51</v>
      </c>
    </row>
    <row r="324" spans="1:4" x14ac:dyDescent="0.25">
      <c r="A324" s="10" t="s">
        <v>783</v>
      </c>
      <c r="B324" s="10" t="s">
        <v>784</v>
      </c>
      <c r="C324" s="10" t="s">
        <v>79</v>
      </c>
      <c r="D324" s="7" t="s">
        <v>785</v>
      </c>
    </row>
    <row r="325" spans="1:4" x14ac:dyDescent="0.25">
      <c r="A325" s="10" t="s">
        <v>786</v>
      </c>
      <c r="B325" s="10" t="s">
        <v>787</v>
      </c>
      <c r="C325" s="10" t="s">
        <v>47</v>
      </c>
      <c r="D325" s="7" t="s">
        <v>297</v>
      </c>
    </row>
    <row r="326" spans="1:4" x14ac:dyDescent="0.25">
      <c r="A326" s="10" t="s">
        <v>788</v>
      </c>
      <c r="B326" s="10" t="s">
        <v>789</v>
      </c>
      <c r="C326" s="10" t="s">
        <v>109</v>
      </c>
      <c r="D326" s="7" t="s">
        <v>790</v>
      </c>
    </row>
    <row r="327" spans="1:4" x14ac:dyDescent="0.25">
      <c r="A327" s="10" t="s">
        <v>791</v>
      </c>
      <c r="B327" s="10" t="s">
        <v>792</v>
      </c>
      <c r="C327" s="10" t="s">
        <v>109</v>
      </c>
      <c r="D327" s="7" t="s">
        <v>266</v>
      </c>
    </row>
    <row r="328" spans="1:4" x14ac:dyDescent="0.25">
      <c r="A328" s="10" t="s">
        <v>793</v>
      </c>
      <c r="B328" s="10" t="s">
        <v>794</v>
      </c>
      <c r="C328" s="10" t="s">
        <v>54</v>
      </c>
      <c r="D328" s="7" t="s">
        <v>61</v>
      </c>
    </row>
    <row r="329" spans="1:4" x14ac:dyDescent="0.25">
      <c r="A329" s="10" t="s">
        <v>795</v>
      </c>
      <c r="B329" s="10" t="s">
        <v>796</v>
      </c>
      <c r="C329" s="10" t="s">
        <v>109</v>
      </c>
      <c r="D329" s="7" t="s">
        <v>348</v>
      </c>
    </row>
    <row r="330" spans="1:4" x14ac:dyDescent="0.25">
      <c r="A330" s="10" t="s">
        <v>797</v>
      </c>
      <c r="B330" s="10" t="s">
        <v>798</v>
      </c>
      <c r="C330" s="10" t="s">
        <v>68</v>
      </c>
      <c r="D330" s="7" t="s">
        <v>285</v>
      </c>
    </row>
    <row r="331" spans="1:4" x14ac:dyDescent="0.25">
      <c r="A331" s="10" t="s">
        <v>799</v>
      </c>
      <c r="B331" s="10" t="s">
        <v>800</v>
      </c>
      <c r="C331" s="10" t="s">
        <v>68</v>
      </c>
      <c r="D331" s="7" t="s">
        <v>310</v>
      </c>
    </row>
    <row r="332" spans="1:4" x14ac:dyDescent="0.25">
      <c r="A332" s="10" t="s">
        <v>801</v>
      </c>
      <c r="B332" s="10" t="s">
        <v>802</v>
      </c>
      <c r="C332" s="10" t="s">
        <v>75</v>
      </c>
      <c r="D332" s="7" t="s">
        <v>302</v>
      </c>
    </row>
    <row r="333" spans="1:4" x14ac:dyDescent="0.25">
      <c r="A333" s="10" t="s">
        <v>803</v>
      </c>
      <c r="B333" s="10" t="s">
        <v>804</v>
      </c>
      <c r="C333" s="10" t="s">
        <v>54</v>
      </c>
      <c r="D333" s="7" t="s">
        <v>172</v>
      </c>
    </row>
    <row r="334" spans="1:4" x14ac:dyDescent="0.25">
      <c r="A334" s="10" t="s">
        <v>805</v>
      </c>
      <c r="B334" s="10" t="s">
        <v>805</v>
      </c>
      <c r="C334" s="10" t="s">
        <v>68</v>
      </c>
      <c r="D334" s="7" t="s">
        <v>285</v>
      </c>
    </row>
    <row r="335" spans="1:4" x14ac:dyDescent="0.25">
      <c r="A335" s="10" t="s">
        <v>806</v>
      </c>
      <c r="B335" s="10" t="s">
        <v>807</v>
      </c>
      <c r="C335" s="10" t="s">
        <v>68</v>
      </c>
      <c r="D335" s="7" t="s">
        <v>285</v>
      </c>
    </row>
    <row r="336" spans="1:4" x14ac:dyDescent="0.25">
      <c r="A336" s="10" t="s">
        <v>808</v>
      </c>
      <c r="B336" s="10" t="s">
        <v>809</v>
      </c>
      <c r="C336" s="10" t="s">
        <v>54</v>
      </c>
      <c r="D336" s="7" t="s">
        <v>158</v>
      </c>
    </row>
    <row r="337" spans="1:4" x14ac:dyDescent="0.25">
      <c r="A337" s="10" t="s">
        <v>810</v>
      </c>
      <c r="B337" s="10" t="s">
        <v>811</v>
      </c>
      <c r="C337" s="10" t="s">
        <v>104</v>
      </c>
      <c r="D337" s="7" t="s">
        <v>721</v>
      </c>
    </row>
    <row r="338" spans="1:4" x14ac:dyDescent="0.25">
      <c r="A338" s="10" t="s">
        <v>812</v>
      </c>
      <c r="B338" s="10" t="s">
        <v>813</v>
      </c>
      <c r="C338" s="10" t="s">
        <v>75</v>
      </c>
      <c r="D338" s="7" t="s">
        <v>814</v>
      </c>
    </row>
    <row r="339" spans="1:4" x14ac:dyDescent="0.25">
      <c r="A339" s="10" t="s">
        <v>815</v>
      </c>
      <c r="B339" s="10" t="s">
        <v>816</v>
      </c>
      <c r="C339" s="10" t="s">
        <v>104</v>
      </c>
      <c r="D339" s="7" t="s">
        <v>817</v>
      </c>
    </row>
    <row r="340" spans="1:4" x14ac:dyDescent="0.25">
      <c r="A340" s="10" t="s">
        <v>818</v>
      </c>
      <c r="B340" s="10" t="s">
        <v>816</v>
      </c>
      <c r="C340" s="10" t="s">
        <v>104</v>
      </c>
      <c r="D340" s="7" t="s">
        <v>817</v>
      </c>
    </row>
    <row r="341" spans="1:4" x14ac:dyDescent="0.25">
      <c r="A341" s="10" t="s">
        <v>819</v>
      </c>
      <c r="B341" s="10" t="s">
        <v>820</v>
      </c>
      <c r="C341" s="10" t="s">
        <v>64</v>
      </c>
      <c r="D341" s="7" t="s">
        <v>117</v>
      </c>
    </row>
    <row r="342" spans="1:4" x14ac:dyDescent="0.25">
      <c r="A342" s="10" t="s">
        <v>821</v>
      </c>
      <c r="B342" s="10" t="s">
        <v>822</v>
      </c>
      <c r="C342" s="10" t="s">
        <v>79</v>
      </c>
      <c r="D342" s="7" t="s">
        <v>732</v>
      </c>
    </row>
    <row r="343" spans="1:4" x14ac:dyDescent="0.25">
      <c r="A343" s="10" t="s">
        <v>823</v>
      </c>
      <c r="B343" s="10" t="s">
        <v>824</v>
      </c>
      <c r="C343" s="10" t="s">
        <v>64</v>
      </c>
      <c r="D343" s="7" t="s">
        <v>117</v>
      </c>
    </row>
    <row r="344" spans="1:4" x14ac:dyDescent="0.25">
      <c r="A344" s="10" t="s">
        <v>825</v>
      </c>
      <c r="B344" s="10" t="s">
        <v>826</v>
      </c>
      <c r="C344" s="10" t="s">
        <v>39</v>
      </c>
      <c r="D344" s="7" t="s">
        <v>427</v>
      </c>
    </row>
    <row r="345" spans="1:4" x14ac:dyDescent="0.25">
      <c r="A345" s="10" t="s">
        <v>827</v>
      </c>
      <c r="B345" s="10" t="s">
        <v>828</v>
      </c>
      <c r="C345" s="10" t="s">
        <v>39</v>
      </c>
      <c r="D345" s="7" t="s">
        <v>383</v>
      </c>
    </row>
    <row r="346" spans="1:4" x14ac:dyDescent="0.25">
      <c r="A346" s="10" t="s">
        <v>829</v>
      </c>
      <c r="B346" s="10" t="s">
        <v>830</v>
      </c>
      <c r="C346" s="10" t="s">
        <v>68</v>
      </c>
      <c r="D346" s="7" t="s">
        <v>137</v>
      </c>
    </row>
    <row r="347" spans="1:4" x14ac:dyDescent="0.25">
      <c r="A347" s="10" t="s">
        <v>831</v>
      </c>
      <c r="B347" s="10" t="s">
        <v>832</v>
      </c>
      <c r="C347" s="10" t="s">
        <v>39</v>
      </c>
      <c r="D347" s="7" t="s">
        <v>197</v>
      </c>
    </row>
    <row r="348" spans="1:4" x14ac:dyDescent="0.25">
      <c r="A348" s="10" t="s">
        <v>833</v>
      </c>
      <c r="B348" s="10" t="s">
        <v>834</v>
      </c>
      <c r="C348" s="10" t="s">
        <v>79</v>
      </c>
      <c r="D348" s="7" t="s">
        <v>80</v>
      </c>
    </row>
    <row r="349" spans="1:4" x14ac:dyDescent="0.25">
      <c r="A349" s="10" t="s">
        <v>835</v>
      </c>
      <c r="B349" s="10" t="s">
        <v>836</v>
      </c>
      <c r="C349" s="10" t="s">
        <v>64</v>
      </c>
      <c r="D349" s="7" t="s">
        <v>65</v>
      </c>
    </row>
    <row r="350" spans="1:4" x14ac:dyDescent="0.25">
      <c r="A350" s="10" t="s">
        <v>837</v>
      </c>
      <c r="B350" s="10" t="s">
        <v>838</v>
      </c>
      <c r="C350" s="10" t="s">
        <v>75</v>
      </c>
      <c r="D350" s="7" t="s">
        <v>839</v>
      </c>
    </row>
    <row r="351" spans="1:4" x14ac:dyDescent="0.25">
      <c r="A351" s="10" t="s">
        <v>840</v>
      </c>
      <c r="B351" s="10" t="s">
        <v>841</v>
      </c>
      <c r="C351" s="10" t="s">
        <v>54</v>
      </c>
      <c r="D351" s="7" t="s">
        <v>61</v>
      </c>
    </row>
    <row r="352" spans="1:4" x14ac:dyDescent="0.25">
      <c r="A352" s="10" t="s">
        <v>842</v>
      </c>
      <c r="B352" s="10" t="s">
        <v>843</v>
      </c>
      <c r="C352" s="10" t="s">
        <v>79</v>
      </c>
      <c r="D352" s="7" t="s">
        <v>433</v>
      </c>
    </row>
    <row r="353" spans="1:4" x14ac:dyDescent="0.25">
      <c r="A353" s="10" t="s">
        <v>844</v>
      </c>
      <c r="B353" s="10" t="s">
        <v>845</v>
      </c>
      <c r="C353" s="10" t="s">
        <v>54</v>
      </c>
      <c r="D353" s="7" t="s">
        <v>61</v>
      </c>
    </row>
    <row r="354" spans="1:4" x14ac:dyDescent="0.25">
      <c r="A354" s="10" t="s">
        <v>846</v>
      </c>
      <c r="B354" s="10" t="s">
        <v>847</v>
      </c>
      <c r="C354" s="10" t="s">
        <v>79</v>
      </c>
      <c r="D354" s="7" t="s">
        <v>531</v>
      </c>
    </row>
    <row r="355" spans="1:4" x14ac:dyDescent="0.25">
      <c r="A355" s="10" t="s">
        <v>848</v>
      </c>
      <c r="B355" s="10" t="s">
        <v>849</v>
      </c>
      <c r="C355" s="10" t="s">
        <v>155</v>
      </c>
      <c r="D355" s="7" t="s">
        <v>156</v>
      </c>
    </row>
    <row r="356" spans="1:4" x14ac:dyDescent="0.25">
      <c r="A356" s="10" t="s">
        <v>850</v>
      </c>
      <c r="B356" s="10" t="s">
        <v>851</v>
      </c>
      <c r="C356" s="10" t="s">
        <v>39</v>
      </c>
      <c r="D356" s="7" t="s">
        <v>662</v>
      </c>
    </row>
    <row r="357" spans="1:4" x14ac:dyDescent="0.25">
      <c r="A357" s="10" t="s">
        <v>852</v>
      </c>
      <c r="B357" s="10" t="s">
        <v>853</v>
      </c>
      <c r="C357" s="10" t="s">
        <v>104</v>
      </c>
      <c r="D357" s="7" t="s">
        <v>645</v>
      </c>
    </row>
    <row r="358" spans="1:4" x14ac:dyDescent="0.25">
      <c r="A358" s="10" t="s">
        <v>854</v>
      </c>
      <c r="B358" s="10" t="s">
        <v>855</v>
      </c>
      <c r="C358" s="10" t="s">
        <v>54</v>
      </c>
      <c r="D358" s="7" t="s">
        <v>61</v>
      </c>
    </row>
    <row r="359" spans="1:4" x14ac:dyDescent="0.25">
      <c r="A359" s="10" t="s">
        <v>856</v>
      </c>
      <c r="B359" s="10" t="s">
        <v>857</v>
      </c>
      <c r="C359" s="10" t="s">
        <v>155</v>
      </c>
      <c r="D359" s="7" t="s">
        <v>695</v>
      </c>
    </row>
    <row r="360" spans="1:4" x14ac:dyDescent="0.25">
      <c r="A360" s="10" t="s">
        <v>858</v>
      </c>
      <c r="B360" s="10" t="s">
        <v>859</v>
      </c>
      <c r="C360" s="10" t="s">
        <v>54</v>
      </c>
      <c r="D360" s="7" t="s">
        <v>58</v>
      </c>
    </row>
    <row r="361" spans="1:4" x14ac:dyDescent="0.25">
      <c r="A361" s="10" t="s">
        <v>860</v>
      </c>
      <c r="B361" s="10" t="s">
        <v>861</v>
      </c>
      <c r="C361" s="10" t="s">
        <v>39</v>
      </c>
      <c r="D361" s="7" t="s">
        <v>427</v>
      </c>
    </row>
    <row r="362" spans="1:4" x14ac:dyDescent="0.25">
      <c r="A362" s="10" t="s">
        <v>862</v>
      </c>
      <c r="B362" s="10" t="s">
        <v>863</v>
      </c>
      <c r="C362" s="10" t="s">
        <v>39</v>
      </c>
      <c r="D362" s="7" t="s">
        <v>282</v>
      </c>
    </row>
    <row r="363" spans="1:4" x14ac:dyDescent="0.25">
      <c r="A363" s="10" t="s">
        <v>864</v>
      </c>
      <c r="B363" s="10" t="s">
        <v>865</v>
      </c>
      <c r="C363" s="10" t="s">
        <v>75</v>
      </c>
      <c r="D363" s="7" t="s">
        <v>114</v>
      </c>
    </row>
    <row r="364" spans="1:4" x14ac:dyDescent="0.25">
      <c r="A364" s="10" t="s">
        <v>866</v>
      </c>
      <c r="B364" s="10" t="s">
        <v>867</v>
      </c>
      <c r="C364" s="10" t="s">
        <v>54</v>
      </c>
      <c r="D364" s="7" t="s">
        <v>534</v>
      </c>
    </row>
    <row r="365" spans="1:4" x14ac:dyDescent="0.25">
      <c r="A365" s="10" t="s">
        <v>868</v>
      </c>
      <c r="B365" s="10" t="s">
        <v>869</v>
      </c>
      <c r="C365" s="10" t="s">
        <v>104</v>
      </c>
      <c r="D365" s="7" t="s">
        <v>721</v>
      </c>
    </row>
    <row r="366" spans="1:4" x14ac:dyDescent="0.25">
      <c r="A366" s="10" t="s">
        <v>870</v>
      </c>
      <c r="B366" s="10" t="s">
        <v>871</v>
      </c>
      <c r="C366" s="10" t="s">
        <v>39</v>
      </c>
      <c r="D366" s="7" t="s">
        <v>427</v>
      </c>
    </row>
    <row r="367" spans="1:4" x14ac:dyDescent="0.25">
      <c r="A367" s="10" t="s">
        <v>872</v>
      </c>
      <c r="B367" s="10" t="s">
        <v>873</v>
      </c>
      <c r="C367" s="10" t="s">
        <v>39</v>
      </c>
      <c r="D367" s="7" t="s">
        <v>186</v>
      </c>
    </row>
    <row r="368" spans="1:4" x14ac:dyDescent="0.25">
      <c r="A368" s="10" t="s">
        <v>874</v>
      </c>
      <c r="B368" s="10" t="s">
        <v>875</v>
      </c>
      <c r="C368" s="10" t="s">
        <v>39</v>
      </c>
      <c r="D368" s="7" t="s">
        <v>186</v>
      </c>
    </row>
    <row r="369" spans="1:4" x14ac:dyDescent="0.25">
      <c r="A369" s="10" t="s">
        <v>876</v>
      </c>
      <c r="B369" s="10" t="s">
        <v>877</v>
      </c>
      <c r="C369" s="10" t="s">
        <v>68</v>
      </c>
      <c r="D369" s="7" t="s">
        <v>516</v>
      </c>
    </row>
    <row r="370" spans="1:4" x14ac:dyDescent="0.25">
      <c r="A370" s="10" t="s">
        <v>878</v>
      </c>
      <c r="B370" s="10" t="s">
        <v>879</v>
      </c>
      <c r="C370" s="10" t="s">
        <v>39</v>
      </c>
      <c r="D370" s="7" t="s">
        <v>427</v>
      </c>
    </row>
    <row r="371" spans="1:4" x14ac:dyDescent="0.25">
      <c r="A371" s="10" t="s">
        <v>26</v>
      </c>
      <c r="B371" s="10" t="s">
        <v>880</v>
      </c>
      <c r="C371" s="10" t="s">
        <v>109</v>
      </c>
      <c r="D371" s="7" t="s">
        <v>348</v>
      </c>
    </row>
    <row r="372" spans="1:4" x14ac:dyDescent="0.25">
      <c r="A372" s="10" t="s">
        <v>28</v>
      </c>
      <c r="B372" s="10" t="s">
        <v>27</v>
      </c>
      <c r="C372" s="10" t="s">
        <v>47</v>
      </c>
      <c r="D372" s="7" t="s">
        <v>242</v>
      </c>
    </row>
    <row r="373" spans="1:4" x14ac:dyDescent="0.25">
      <c r="A373" s="10" t="s">
        <v>881</v>
      </c>
      <c r="B373" s="10" t="s">
        <v>882</v>
      </c>
      <c r="C373" s="10" t="s">
        <v>64</v>
      </c>
      <c r="D373" s="7" t="s">
        <v>117</v>
      </c>
    </row>
    <row r="374" spans="1:4" x14ac:dyDescent="0.25">
      <c r="A374" s="10" t="s">
        <v>883</v>
      </c>
      <c r="B374" s="10" t="s">
        <v>884</v>
      </c>
      <c r="C374" s="10" t="s">
        <v>109</v>
      </c>
      <c r="D374" s="7" t="s">
        <v>110</v>
      </c>
    </row>
    <row r="375" spans="1:4" x14ac:dyDescent="0.25">
      <c r="A375" s="10" t="s">
        <v>885</v>
      </c>
      <c r="B375" s="10" t="s">
        <v>886</v>
      </c>
      <c r="C375" s="10" t="s">
        <v>155</v>
      </c>
      <c r="D375" s="7" t="s">
        <v>741</v>
      </c>
    </row>
    <row r="376" spans="1:4" x14ac:dyDescent="0.25">
      <c r="A376" s="10" t="s">
        <v>887</v>
      </c>
      <c r="B376" s="10" t="s">
        <v>888</v>
      </c>
      <c r="C376" s="10" t="s">
        <v>64</v>
      </c>
      <c r="D376" s="7" t="s">
        <v>117</v>
      </c>
    </row>
    <row r="377" spans="1:4" x14ac:dyDescent="0.25">
      <c r="A377" s="10" t="s">
        <v>889</v>
      </c>
      <c r="B377" s="10" t="s">
        <v>890</v>
      </c>
      <c r="C377" s="10" t="s">
        <v>155</v>
      </c>
      <c r="D377" s="7" t="s">
        <v>156</v>
      </c>
    </row>
    <row r="378" spans="1:4" x14ac:dyDescent="0.25">
      <c r="A378" s="10" t="s">
        <v>891</v>
      </c>
      <c r="B378" s="10" t="s">
        <v>892</v>
      </c>
      <c r="C378" s="10" t="s">
        <v>68</v>
      </c>
      <c r="D378" s="7" t="s">
        <v>339</v>
      </c>
    </row>
    <row r="379" spans="1:4" x14ac:dyDescent="0.25">
      <c r="A379" s="10" t="s">
        <v>893</v>
      </c>
      <c r="B379" s="10" t="s">
        <v>894</v>
      </c>
      <c r="C379" s="10" t="s">
        <v>79</v>
      </c>
      <c r="D379" s="7" t="s">
        <v>566</v>
      </c>
    </row>
    <row r="380" spans="1:4" x14ac:dyDescent="0.25">
      <c r="A380" s="10" t="s">
        <v>895</v>
      </c>
      <c r="B380" s="10" t="s">
        <v>896</v>
      </c>
      <c r="C380" s="10" t="s">
        <v>75</v>
      </c>
      <c r="D380" s="7" t="s">
        <v>86</v>
      </c>
    </row>
    <row r="381" spans="1:4" x14ac:dyDescent="0.25">
      <c r="A381" s="10" t="s">
        <v>897</v>
      </c>
      <c r="B381" s="10" t="s">
        <v>898</v>
      </c>
      <c r="C381" s="10" t="s">
        <v>64</v>
      </c>
      <c r="D381" s="7" t="s">
        <v>98</v>
      </c>
    </row>
    <row r="382" spans="1:4" x14ac:dyDescent="0.25">
      <c r="A382" s="10" t="s">
        <v>899</v>
      </c>
      <c r="B382" s="10" t="s">
        <v>900</v>
      </c>
      <c r="C382" s="10" t="s">
        <v>109</v>
      </c>
      <c r="D382" s="7" t="s">
        <v>481</v>
      </c>
    </row>
    <row r="383" spans="1:4" x14ac:dyDescent="0.25">
      <c r="A383" s="10" t="s">
        <v>901</v>
      </c>
      <c r="B383" s="10" t="s">
        <v>902</v>
      </c>
      <c r="C383" s="10" t="s">
        <v>68</v>
      </c>
      <c r="D383" s="7" t="s">
        <v>101</v>
      </c>
    </row>
    <row r="384" spans="1:4" x14ac:dyDescent="0.25">
      <c r="A384" s="10" t="s">
        <v>903</v>
      </c>
      <c r="B384" s="10" t="s">
        <v>904</v>
      </c>
      <c r="C384" s="10" t="s">
        <v>89</v>
      </c>
      <c r="D384" s="7" t="s">
        <v>905</v>
      </c>
    </row>
    <row r="385" spans="1:4" x14ac:dyDescent="0.25">
      <c r="A385" s="10" t="s">
        <v>906</v>
      </c>
      <c r="B385" s="10" t="s">
        <v>907</v>
      </c>
      <c r="C385" s="10" t="s">
        <v>68</v>
      </c>
      <c r="D385" s="7" t="s">
        <v>69</v>
      </c>
    </row>
    <row r="386" spans="1:4" x14ac:dyDescent="0.25">
      <c r="A386" s="10" t="s">
        <v>908</v>
      </c>
      <c r="B386" s="10" t="s">
        <v>909</v>
      </c>
      <c r="C386" s="10" t="s">
        <v>64</v>
      </c>
      <c r="D386" s="7" t="s">
        <v>98</v>
      </c>
    </row>
    <row r="387" spans="1:4" x14ac:dyDescent="0.25">
      <c r="A387" s="10" t="s">
        <v>910</v>
      </c>
      <c r="B387" s="10" t="s">
        <v>910</v>
      </c>
      <c r="C387" s="10" t="s">
        <v>54</v>
      </c>
      <c r="D387" s="7" t="s">
        <v>58</v>
      </c>
    </row>
    <row r="388" spans="1:4" x14ac:dyDescent="0.25">
      <c r="A388" s="10" t="s">
        <v>911</v>
      </c>
      <c r="B388" s="10" t="s">
        <v>912</v>
      </c>
      <c r="C388" s="10" t="s">
        <v>89</v>
      </c>
      <c r="D388" s="7" t="s">
        <v>499</v>
      </c>
    </row>
    <row r="389" spans="1:4" x14ac:dyDescent="0.25">
      <c r="A389" s="10" t="s">
        <v>913</v>
      </c>
      <c r="B389" s="10" t="s">
        <v>914</v>
      </c>
      <c r="C389" s="10" t="s">
        <v>79</v>
      </c>
      <c r="D389" s="7" t="s">
        <v>433</v>
      </c>
    </row>
    <row r="390" spans="1:4" x14ac:dyDescent="0.25">
      <c r="A390" s="10" t="s">
        <v>915</v>
      </c>
      <c r="B390" s="10" t="s">
        <v>916</v>
      </c>
      <c r="C390" s="10" t="s">
        <v>54</v>
      </c>
      <c r="D390" s="7" t="s">
        <v>61</v>
      </c>
    </row>
    <row r="391" spans="1:4" x14ac:dyDescent="0.25">
      <c r="A391" s="10" t="s">
        <v>917</v>
      </c>
      <c r="B391" s="10" t="s">
        <v>918</v>
      </c>
      <c r="C391" s="10" t="s">
        <v>39</v>
      </c>
      <c r="D391" s="7" t="s">
        <v>670</v>
      </c>
    </row>
    <row r="392" spans="1:4" x14ac:dyDescent="0.25">
      <c r="A392" s="10" t="s">
        <v>919</v>
      </c>
      <c r="B392" s="10" t="s">
        <v>920</v>
      </c>
      <c r="C392" s="10" t="s">
        <v>54</v>
      </c>
      <c r="D392" s="7" t="s">
        <v>61</v>
      </c>
    </row>
    <row r="393" spans="1:4" x14ac:dyDescent="0.25">
      <c r="A393" s="10" t="s">
        <v>921</v>
      </c>
      <c r="B393" s="10" t="s">
        <v>922</v>
      </c>
      <c r="C393" s="10" t="s">
        <v>47</v>
      </c>
      <c r="D393" s="7" t="s">
        <v>327</v>
      </c>
    </row>
    <row r="394" spans="1:4" x14ac:dyDescent="0.25">
      <c r="A394" s="10" t="s">
        <v>923</v>
      </c>
      <c r="B394" s="10" t="s">
        <v>924</v>
      </c>
      <c r="C394" s="10" t="s">
        <v>79</v>
      </c>
      <c r="D394" s="7" t="s">
        <v>732</v>
      </c>
    </row>
    <row r="395" spans="1:4" x14ac:dyDescent="0.25">
      <c r="A395" s="10" t="s">
        <v>925</v>
      </c>
      <c r="B395" s="10" t="s">
        <v>926</v>
      </c>
      <c r="C395" s="10" t="s">
        <v>68</v>
      </c>
      <c r="D395" s="7" t="s">
        <v>310</v>
      </c>
    </row>
    <row r="396" spans="1:4" x14ac:dyDescent="0.25">
      <c r="A396" s="10" t="s">
        <v>927</v>
      </c>
      <c r="B396" s="10" t="s">
        <v>928</v>
      </c>
      <c r="C396" s="10" t="s">
        <v>39</v>
      </c>
      <c r="D396" s="7" t="s">
        <v>197</v>
      </c>
    </row>
    <row r="397" spans="1:4" x14ac:dyDescent="0.25">
      <c r="A397" s="10" t="s">
        <v>929</v>
      </c>
      <c r="B397" s="10" t="s">
        <v>930</v>
      </c>
      <c r="C397" s="10" t="s">
        <v>89</v>
      </c>
      <c r="D397" s="7" t="s">
        <v>511</v>
      </c>
    </row>
    <row r="398" spans="1:4" x14ac:dyDescent="0.25">
      <c r="A398" s="10" t="s">
        <v>931</v>
      </c>
      <c r="B398" s="10" t="s">
        <v>932</v>
      </c>
      <c r="C398" s="10" t="s">
        <v>47</v>
      </c>
      <c r="D398" s="7" t="s">
        <v>51</v>
      </c>
    </row>
    <row r="399" spans="1:4" x14ac:dyDescent="0.25">
      <c r="A399" s="10" t="s">
        <v>933</v>
      </c>
      <c r="B399" s="10" t="s">
        <v>934</v>
      </c>
      <c r="C399" s="10" t="s">
        <v>68</v>
      </c>
      <c r="D399" s="7" t="s">
        <v>339</v>
      </c>
    </row>
    <row r="400" spans="1:4" x14ac:dyDescent="0.25">
      <c r="A400" s="10" t="s">
        <v>935</v>
      </c>
      <c r="B400" s="10" t="s">
        <v>936</v>
      </c>
      <c r="C400" s="10" t="s">
        <v>39</v>
      </c>
      <c r="D400" s="7" t="s">
        <v>937</v>
      </c>
    </row>
    <row r="401" spans="1:4" x14ac:dyDescent="0.25">
      <c r="A401" s="10" t="s">
        <v>938</v>
      </c>
      <c r="B401" s="10" t="s">
        <v>939</v>
      </c>
      <c r="C401" s="10" t="s">
        <v>47</v>
      </c>
      <c r="D401" s="7" t="s">
        <v>48</v>
      </c>
    </row>
    <row r="402" spans="1:4" x14ac:dyDescent="0.25">
      <c r="A402" s="10" t="s">
        <v>940</v>
      </c>
      <c r="B402" s="10" t="s">
        <v>941</v>
      </c>
      <c r="C402" s="10" t="s">
        <v>47</v>
      </c>
      <c r="D402" s="7" t="s">
        <v>48</v>
      </c>
    </row>
    <row r="403" spans="1:4" x14ac:dyDescent="0.25">
      <c r="A403" s="10" t="s">
        <v>942</v>
      </c>
      <c r="B403" s="10" t="s">
        <v>943</v>
      </c>
      <c r="C403" s="10" t="s">
        <v>39</v>
      </c>
      <c r="D403" s="7" t="s">
        <v>186</v>
      </c>
    </row>
    <row r="404" spans="1:4" x14ac:dyDescent="0.25">
      <c r="A404" s="10" t="s">
        <v>944</v>
      </c>
      <c r="B404" s="10" t="s">
        <v>945</v>
      </c>
      <c r="C404" s="10" t="s">
        <v>39</v>
      </c>
      <c r="D404" s="7" t="s">
        <v>140</v>
      </c>
    </row>
    <row r="405" spans="1:4" x14ac:dyDescent="0.25">
      <c r="A405" s="10" t="s">
        <v>946</v>
      </c>
      <c r="B405" s="10" t="s">
        <v>947</v>
      </c>
      <c r="C405" s="10" t="s">
        <v>39</v>
      </c>
      <c r="D405" s="7" t="s">
        <v>937</v>
      </c>
    </row>
    <row r="406" spans="1:4" x14ac:dyDescent="0.25">
      <c r="A406" s="10" t="s">
        <v>948</v>
      </c>
      <c r="B406" s="10" t="s">
        <v>949</v>
      </c>
      <c r="C406" s="10" t="s">
        <v>54</v>
      </c>
      <c r="D406" s="7" t="s">
        <v>688</v>
      </c>
    </row>
    <row r="407" spans="1:4" x14ac:dyDescent="0.25">
      <c r="A407" s="10" t="s">
        <v>950</v>
      </c>
      <c r="B407" s="10" t="s">
        <v>951</v>
      </c>
      <c r="C407" s="10" t="s">
        <v>79</v>
      </c>
      <c r="D407" s="7" t="s">
        <v>952</v>
      </c>
    </row>
    <row r="408" spans="1:4" x14ac:dyDescent="0.25">
      <c r="A408" s="10" t="s">
        <v>953</v>
      </c>
      <c r="B408" s="10" t="s">
        <v>954</v>
      </c>
      <c r="C408" s="10" t="s">
        <v>79</v>
      </c>
      <c r="D408" s="7" t="s">
        <v>80</v>
      </c>
    </row>
    <row r="409" spans="1:4" x14ac:dyDescent="0.25">
      <c r="A409" s="10" t="s">
        <v>955</v>
      </c>
      <c r="B409" s="10" t="s">
        <v>956</v>
      </c>
      <c r="C409" s="10" t="s">
        <v>68</v>
      </c>
      <c r="D409" s="7" t="s">
        <v>285</v>
      </c>
    </row>
    <row r="410" spans="1:4" x14ac:dyDescent="0.25">
      <c r="A410" s="10" t="s">
        <v>957</v>
      </c>
      <c r="B410" s="10" t="s">
        <v>958</v>
      </c>
      <c r="C410" s="10" t="s">
        <v>54</v>
      </c>
      <c r="D410" s="7" t="s">
        <v>58</v>
      </c>
    </row>
    <row r="411" spans="1:4" x14ac:dyDescent="0.25">
      <c r="A411" s="10" t="s">
        <v>959</v>
      </c>
      <c r="B411" s="10" t="s">
        <v>960</v>
      </c>
      <c r="C411" s="10" t="s">
        <v>89</v>
      </c>
      <c r="D411" s="7" t="s">
        <v>131</v>
      </c>
    </row>
    <row r="412" spans="1:4" x14ac:dyDescent="0.25">
      <c r="A412" s="10" t="s">
        <v>961</v>
      </c>
      <c r="B412" s="10" t="s">
        <v>962</v>
      </c>
      <c r="C412" s="10" t="s">
        <v>155</v>
      </c>
      <c r="D412" s="7" t="s">
        <v>200</v>
      </c>
    </row>
    <row r="413" spans="1:4" x14ac:dyDescent="0.25">
      <c r="A413" s="10" t="s">
        <v>2</v>
      </c>
      <c r="B413" s="10" t="s">
        <v>963</v>
      </c>
      <c r="C413" s="10" t="s">
        <v>54</v>
      </c>
      <c r="D413" s="7" t="s">
        <v>158</v>
      </c>
    </row>
    <row r="414" spans="1:4" x14ac:dyDescent="0.25">
      <c r="A414" s="10" t="s">
        <v>964</v>
      </c>
      <c r="B414" s="10" t="s">
        <v>965</v>
      </c>
      <c r="C414" s="10" t="s">
        <v>64</v>
      </c>
      <c r="D414" s="7" t="s">
        <v>117</v>
      </c>
    </row>
    <row r="415" spans="1:4" x14ac:dyDescent="0.25">
      <c r="A415" s="10" t="s">
        <v>966</v>
      </c>
      <c r="B415" s="10" t="s">
        <v>967</v>
      </c>
      <c r="C415" s="10" t="s">
        <v>54</v>
      </c>
      <c r="D415" s="7" t="s">
        <v>534</v>
      </c>
    </row>
    <row r="416" spans="1:4" x14ac:dyDescent="0.25">
      <c r="A416" s="10" t="s">
        <v>968</v>
      </c>
      <c r="B416" s="10" t="s">
        <v>969</v>
      </c>
      <c r="C416" s="10" t="s">
        <v>75</v>
      </c>
      <c r="D416" s="7" t="s">
        <v>86</v>
      </c>
    </row>
    <row r="417" spans="1:4" x14ac:dyDescent="0.25">
      <c r="A417" s="10" t="s">
        <v>970</v>
      </c>
      <c r="B417" s="10" t="s">
        <v>971</v>
      </c>
      <c r="C417" s="10" t="s">
        <v>89</v>
      </c>
      <c r="D417" s="7" t="s">
        <v>511</v>
      </c>
    </row>
    <row r="418" spans="1:4" x14ac:dyDescent="0.25">
      <c r="A418" s="10" t="s">
        <v>972</v>
      </c>
      <c r="B418" s="10" t="s">
        <v>973</v>
      </c>
      <c r="C418" s="10" t="s">
        <v>54</v>
      </c>
      <c r="D418" s="7" t="s">
        <v>61</v>
      </c>
    </row>
    <row r="419" spans="1:4" x14ac:dyDescent="0.25">
      <c r="A419" s="10" t="s">
        <v>974</v>
      </c>
      <c r="B419" s="10" t="s">
        <v>975</v>
      </c>
      <c r="C419" s="10" t="s">
        <v>109</v>
      </c>
      <c r="D419" s="7" t="s">
        <v>266</v>
      </c>
    </row>
    <row r="420" spans="1:4" x14ac:dyDescent="0.25">
      <c r="A420" s="10" t="s">
        <v>976</v>
      </c>
      <c r="B420" s="10" t="s">
        <v>977</v>
      </c>
      <c r="C420" s="10" t="s">
        <v>39</v>
      </c>
      <c r="D420" s="7" t="s">
        <v>427</v>
      </c>
    </row>
    <row r="421" spans="1:4" x14ac:dyDescent="0.25">
      <c r="A421" s="10" t="s">
        <v>978</v>
      </c>
      <c r="B421" s="10" t="s">
        <v>979</v>
      </c>
      <c r="C421" s="10" t="s">
        <v>64</v>
      </c>
      <c r="D421" s="7" t="s">
        <v>98</v>
      </c>
    </row>
    <row r="422" spans="1:4" x14ac:dyDescent="0.25">
      <c r="A422" s="10" t="s">
        <v>980</v>
      </c>
      <c r="B422" s="10" t="s">
        <v>981</v>
      </c>
      <c r="C422" s="10" t="s">
        <v>39</v>
      </c>
      <c r="D422" s="7" t="s">
        <v>122</v>
      </c>
    </row>
    <row r="423" spans="1:4" x14ac:dyDescent="0.25">
      <c r="A423" s="10" t="s">
        <v>982</v>
      </c>
      <c r="B423" s="10" t="s">
        <v>983</v>
      </c>
      <c r="C423" s="10" t="s">
        <v>39</v>
      </c>
      <c r="D423" s="7" t="s">
        <v>427</v>
      </c>
    </row>
    <row r="424" spans="1:4" x14ac:dyDescent="0.25">
      <c r="A424" s="10" t="s">
        <v>32</v>
      </c>
      <c r="B424" s="10" t="s">
        <v>31</v>
      </c>
      <c r="C424" s="10" t="s">
        <v>79</v>
      </c>
      <c r="D424" s="7" t="s">
        <v>319</v>
      </c>
    </row>
    <row r="425" spans="1:4" x14ac:dyDescent="0.25">
      <c r="A425" s="10" t="s">
        <v>984</v>
      </c>
      <c r="B425" s="10" t="s">
        <v>985</v>
      </c>
      <c r="C425" s="10" t="s">
        <v>68</v>
      </c>
      <c r="D425" s="7" t="s">
        <v>137</v>
      </c>
    </row>
    <row r="426" spans="1:4" x14ac:dyDescent="0.25">
      <c r="A426" s="10" t="s">
        <v>986</v>
      </c>
      <c r="B426" s="10" t="s">
        <v>987</v>
      </c>
      <c r="C426" s="10" t="s">
        <v>75</v>
      </c>
      <c r="D426" s="7" t="s">
        <v>839</v>
      </c>
    </row>
    <row r="427" spans="1:4" x14ac:dyDescent="0.25">
      <c r="A427" s="10" t="s">
        <v>988</v>
      </c>
      <c r="B427" s="10" t="s">
        <v>989</v>
      </c>
      <c r="C427" s="10" t="s">
        <v>47</v>
      </c>
      <c r="D427" s="7" t="s">
        <v>48</v>
      </c>
    </row>
    <row r="428" spans="1:4" x14ac:dyDescent="0.25">
      <c r="A428" s="10" t="s">
        <v>990</v>
      </c>
      <c r="B428" s="10" t="s">
        <v>991</v>
      </c>
      <c r="C428" s="10" t="s">
        <v>47</v>
      </c>
      <c r="D428" s="7" t="s">
        <v>48</v>
      </c>
    </row>
    <row r="429" spans="1:4" x14ac:dyDescent="0.25">
      <c r="A429" s="10" t="s">
        <v>992</v>
      </c>
      <c r="B429" s="10" t="s">
        <v>993</v>
      </c>
      <c r="C429" s="10" t="s">
        <v>68</v>
      </c>
      <c r="D429" s="7" t="s">
        <v>125</v>
      </c>
    </row>
    <row r="430" spans="1:4" x14ac:dyDescent="0.25">
      <c r="A430" s="10" t="s">
        <v>994</v>
      </c>
      <c r="B430" s="10" t="s">
        <v>995</v>
      </c>
      <c r="C430" s="10" t="s">
        <v>54</v>
      </c>
      <c r="D430" s="7" t="s">
        <v>58</v>
      </c>
    </row>
    <row r="431" spans="1:4" x14ac:dyDescent="0.25">
      <c r="A431" s="10" t="s">
        <v>996</v>
      </c>
      <c r="B431" s="10" t="s">
        <v>997</v>
      </c>
      <c r="C431" s="10" t="s">
        <v>109</v>
      </c>
      <c r="D431" s="7" t="s">
        <v>998</v>
      </c>
    </row>
    <row r="432" spans="1:4" x14ac:dyDescent="0.25">
      <c r="A432" s="10" t="s">
        <v>999</v>
      </c>
      <c r="B432" s="10" t="s">
        <v>1000</v>
      </c>
      <c r="C432" s="10" t="s">
        <v>104</v>
      </c>
      <c r="D432" s="7" t="s">
        <v>1001</v>
      </c>
    </row>
    <row r="433" spans="1:4" x14ac:dyDescent="0.25">
      <c r="A433" s="10" t="s">
        <v>1002</v>
      </c>
      <c r="B433" s="10" t="s">
        <v>1003</v>
      </c>
      <c r="C433" s="10" t="s">
        <v>68</v>
      </c>
      <c r="D433" s="7" t="s">
        <v>137</v>
      </c>
    </row>
    <row r="434" spans="1:4" x14ac:dyDescent="0.25">
      <c r="A434" s="10" t="s">
        <v>1004</v>
      </c>
      <c r="B434" s="10" t="s">
        <v>1005</v>
      </c>
      <c r="C434" s="10" t="s">
        <v>104</v>
      </c>
      <c r="D434" s="7" t="s">
        <v>454</v>
      </c>
    </row>
    <row r="435" spans="1:4" x14ac:dyDescent="0.25">
      <c r="A435" s="10" t="s">
        <v>1006</v>
      </c>
      <c r="B435" s="10" t="s">
        <v>1007</v>
      </c>
      <c r="C435" s="10" t="s">
        <v>79</v>
      </c>
      <c r="D435" s="7" t="s">
        <v>732</v>
      </c>
    </row>
    <row r="436" spans="1:4" x14ac:dyDescent="0.25">
      <c r="A436" s="10" t="s">
        <v>1008</v>
      </c>
      <c r="B436" s="10" t="s">
        <v>1009</v>
      </c>
      <c r="C436" s="10" t="s">
        <v>155</v>
      </c>
      <c r="D436" s="7" t="s">
        <v>695</v>
      </c>
    </row>
    <row r="437" spans="1:4" x14ac:dyDescent="0.25">
      <c r="A437" s="10" t="s">
        <v>1010</v>
      </c>
      <c r="B437" s="10" t="s">
        <v>1011</v>
      </c>
      <c r="C437" s="10" t="s">
        <v>109</v>
      </c>
      <c r="D437" s="7" t="s">
        <v>377</v>
      </c>
    </row>
    <row r="438" spans="1:4" x14ac:dyDescent="0.25">
      <c r="A438" s="10" t="s">
        <v>1012</v>
      </c>
      <c r="B438" s="10" t="s">
        <v>1013</v>
      </c>
      <c r="C438" s="10" t="s">
        <v>54</v>
      </c>
      <c r="D438" s="7" t="s">
        <v>665</v>
      </c>
    </row>
    <row r="439" spans="1:4" x14ac:dyDescent="0.25">
      <c r="A439" s="10" t="s">
        <v>1014</v>
      </c>
      <c r="B439" s="10" t="s">
        <v>1015</v>
      </c>
      <c r="C439" s="10" t="s">
        <v>54</v>
      </c>
      <c r="D439" s="7" t="s">
        <v>688</v>
      </c>
    </row>
    <row r="440" spans="1:4" x14ac:dyDescent="0.25">
      <c r="A440" s="10" t="s">
        <v>1016</v>
      </c>
      <c r="B440" s="10" t="s">
        <v>1017</v>
      </c>
      <c r="C440" s="10" t="s">
        <v>47</v>
      </c>
      <c r="D440" s="7" t="s">
        <v>48</v>
      </c>
    </row>
    <row r="441" spans="1:4" x14ac:dyDescent="0.25">
      <c r="A441" s="10" t="s">
        <v>1018</v>
      </c>
      <c r="B441" s="10" t="s">
        <v>1019</v>
      </c>
      <c r="C441" s="10" t="s">
        <v>54</v>
      </c>
      <c r="D441" s="7" t="s">
        <v>161</v>
      </c>
    </row>
    <row r="442" spans="1:4" x14ac:dyDescent="0.25">
      <c r="A442" s="10" t="s">
        <v>1020</v>
      </c>
      <c r="B442" s="10" t="s">
        <v>1021</v>
      </c>
      <c r="C442" s="10" t="s">
        <v>79</v>
      </c>
      <c r="D442" s="7" t="s">
        <v>531</v>
      </c>
    </row>
    <row r="443" spans="1:4" x14ac:dyDescent="0.25">
      <c r="A443" s="10" t="s">
        <v>1022</v>
      </c>
      <c r="B443" s="10" t="s">
        <v>1023</v>
      </c>
      <c r="C443" s="10" t="s">
        <v>54</v>
      </c>
      <c r="D443" s="7" t="s">
        <v>61</v>
      </c>
    </row>
    <row r="444" spans="1:4" x14ac:dyDescent="0.25">
      <c r="A444" s="10" t="s">
        <v>1024</v>
      </c>
      <c r="B444" s="10" t="s">
        <v>1025</v>
      </c>
      <c r="C444" s="10" t="s">
        <v>39</v>
      </c>
      <c r="D444" s="7" t="s">
        <v>197</v>
      </c>
    </row>
    <row r="445" spans="1:4" x14ac:dyDescent="0.25">
      <c r="A445" s="10" t="s">
        <v>1026</v>
      </c>
      <c r="B445" s="10" t="s">
        <v>1027</v>
      </c>
      <c r="C445" s="10" t="s">
        <v>47</v>
      </c>
      <c r="D445" s="7" t="s">
        <v>72</v>
      </c>
    </row>
    <row r="446" spans="1:4" x14ac:dyDescent="0.25">
      <c r="A446" s="10" t="s">
        <v>1028</v>
      </c>
      <c r="B446" s="10" t="s">
        <v>1029</v>
      </c>
      <c r="C446" s="10" t="s">
        <v>79</v>
      </c>
      <c r="D446" s="7" t="s">
        <v>952</v>
      </c>
    </row>
    <row r="447" spans="1:4" x14ac:dyDescent="0.25">
      <c r="A447" s="10" t="s">
        <v>1030</v>
      </c>
      <c r="B447" s="10" t="s">
        <v>1031</v>
      </c>
      <c r="C447" s="10" t="s">
        <v>79</v>
      </c>
      <c r="D447" s="7" t="s">
        <v>211</v>
      </c>
    </row>
    <row r="448" spans="1:4" x14ac:dyDescent="0.25">
      <c r="A448" s="10" t="s">
        <v>1032</v>
      </c>
      <c r="B448" s="10" t="s">
        <v>1033</v>
      </c>
      <c r="C448" s="10" t="s">
        <v>39</v>
      </c>
      <c r="D448" s="7" t="s">
        <v>44</v>
      </c>
    </row>
    <row r="449" spans="1:4" x14ac:dyDescent="0.25">
      <c r="A449" s="10" t="s">
        <v>1034</v>
      </c>
      <c r="B449" s="10" t="s">
        <v>1035</v>
      </c>
      <c r="C449" s="10" t="s">
        <v>39</v>
      </c>
      <c r="D449" s="7" t="s">
        <v>197</v>
      </c>
    </row>
    <row r="450" spans="1:4" x14ac:dyDescent="0.25">
      <c r="A450" s="10" t="s">
        <v>1036</v>
      </c>
      <c r="B450" s="10" t="s">
        <v>1037</v>
      </c>
      <c r="C450" s="10" t="s">
        <v>68</v>
      </c>
      <c r="D450" s="7" t="s">
        <v>101</v>
      </c>
    </row>
    <row r="451" spans="1:4" x14ac:dyDescent="0.25">
      <c r="A451" s="10" t="s">
        <v>1038</v>
      </c>
      <c r="B451" s="10" t="s">
        <v>1039</v>
      </c>
      <c r="C451" s="10" t="s">
        <v>54</v>
      </c>
      <c r="D451" s="7" t="s">
        <v>688</v>
      </c>
    </row>
    <row r="452" spans="1:4" x14ac:dyDescent="0.25">
      <c r="A452" s="10" t="s">
        <v>1040</v>
      </c>
      <c r="B452" s="10" t="s">
        <v>1041</v>
      </c>
      <c r="C452" s="10" t="s">
        <v>68</v>
      </c>
      <c r="D452" s="7" t="s">
        <v>339</v>
      </c>
    </row>
    <row r="453" spans="1:4" x14ac:dyDescent="0.25">
      <c r="A453" s="10" t="s">
        <v>1042</v>
      </c>
      <c r="B453" s="10" t="s">
        <v>1043</v>
      </c>
      <c r="C453" s="10" t="s">
        <v>54</v>
      </c>
      <c r="D453" s="7" t="s">
        <v>58</v>
      </c>
    </row>
    <row r="454" spans="1:4" x14ac:dyDescent="0.25">
      <c r="A454" s="10" t="s">
        <v>1044</v>
      </c>
      <c r="B454" s="10" t="s">
        <v>1045</v>
      </c>
      <c r="C454" s="10" t="s">
        <v>109</v>
      </c>
      <c r="D454" s="7" t="s">
        <v>266</v>
      </c>
    </row>
    <row r="455" spans="1:4" x14ac:dyDescent="0.25">
      <c r="A455" s="10" t="s">
        <v>1046</v>
      </c>
      <c r="B455" s="10" t="s">
        <v>1047</v>
      </c>
      <c r="C455" s="10" t="s">
        <v>68</v>
      </c>
      <c r="D455" s="7" t="s">
        <v>206</v>
      </c>
    </row>
    <row r="456" spans="1:4" x14ac:dyDescent="0.25">
      <c r="A456" s="10" t="s">
        <v>1048</v>
      </c>
      <c r="B456" s="10" t="s">
        <v>1049</v>
      </c>
      <c r="C456" s="10" t="s">
        <v>39</v>
      </c>
      <c r="D456" s="7" t="s">
        <v>1050</v>
      </c>
    </row>
    <row r="457" spans="1:4" x14ac:dyDescent="0.25">
      <c r="A457" s="10" t="s">
        <v>1051</v>
      </c>
      <c r="B457" s="10" t="s">
        <v>1052</v>
      </c>
      <c r="C457" s="10" t="s">
        <v>89</v>
      </c>
      <c r="D457" s="7" t="s">
        <v>192</v>
      </c>
    </row>
    <row r="458" spans="1:4" x14ac:dyDescent="0.25">
      <c r="A458" s="10" t="s">
        <v>1053</v>
      </c>
      <c r="B458" s="10" t="s">
        <v>1054</v>
      </c>
      <c r="C458" s="10" t="s">
        <v>79</v>
      </c>
      <c r="D458" s="7" t="s">
        <v>211</v>
      </c>
    </row>
    <row r="459" spans="1:4" x14ac:dyDescent="0.25">
      <c r="A459" s="10" t="s">
        <v>1055</v>
      </c>
      <c r="B459" s="10" t="s">
        <v>1056</v>
      </c>
      <c r="C459" s="10" t="s">
        <v>39</v>
      </c>
      <c r="D459" s="7" t="s">
        <v>383</v>
      </c>
    </row>
    <row r="460" spans="1:4" x14ac:dyDescent="0.25">
      <c r="A460" s="10" t="s">
        <v>1057</v>
      </c>
      <c r="B460" s="10" t="s">
        <v>1058</v>
      </c>
      <c r="C460" s="10" t="s">
        <v>39</v>
      </c>
      <c r="D460" s="7" t="s">
        <v>122</v>
      </c>
    </row>
    <row r="461" spans="1:4" x14ac:dyDescent="0.25">
      <c r="A461" s="10" t="s">
        <v>1059</v>
      </c>
      <c r="B461" s="10" t="s">
        <v>1060</v>
      </c>
      <c r="C461" s="10" t="s">
        <v>39</v>
      </c>
      <c r="D461" s="7" t="s">
        <v>305</v>
      </c>
    </row>
    <row r="462" spans="1:4" x14ac:dyDescent="0.25">
      <c r="A462" s="10" t="s">
        <v>1061</v>
      </c>
      <c r="B462" s="10" t="s">
        <v>1062</v>
      </c>
      <c r="C462" s="10" t="s">
        <v>39</v>
      </c>
      <c r="D462" s="7" t="s">
        <v>508</v>
      </c>
    </row>
    <row r="463" spans="1:4" x14ac:dyDescent="0.25">
      <c r="A463" s="10" t="s">
        <v>1063</v>
      </c>
      <c r="B463" s="10" t="s">
        <v>1064</v>
      </c>
      <c r="C463" s="10" t="s">
        <v>47</v>
      </c>
      <c r="D463" s="7" t="s">
        <v>297</v>
      </c>
    </row>
    <row r="464" spans="1:4" x14ac:dyDescent="0.25">
      <c r="A464" s="10" t="s">
        <v>1065</v>
      </c>
      <c r="B464" s="10" t="s">
        <v>1066</v>
      </c>
      <c r="C464" s="10" t="s">
        <v>47</v>
      </c>
      <c r="D464" s="7" t="s">
        <v>583</v>
      </c>
    </row>
    <row r="465" spans="1:4" x14ac:dyDescent="0.25">
      <c r="A465" s="10" t="s">
        <v>1067</v>
      </c>
      <c r="B465" s="10" t="s">
        <v>1068</v>
      </c>
      <c r="C465" s="10" t="s">
        <v>155</v>
      </c>
      <c r="D465" s="7" t="s">
        <v>741</v>
      </c>
    </row>
    <row r="466" spans="1:4" x14ac:dyDescent="0.25">
      <c r="A466" s="10" t="s">
        <v>1069</v>
      </c>
      <c r="B466" s="10" t="s">
        <v>1070</v>
      </c>
      <c r="C466" s="10" t="s">
        <v>89</v>
      </c>
      <c r="D466" s="7" t="s">
        <v>586</v>
      </c>
    </row>
    <row r="467" spans="1:4" x14ac:dyDescent="0.25">
      <c r="A467" s="10" t="s">
        <v>1071</v>
      </c>
      <c r="B467" s="10" t="s">
        <v>1072</v>
      </c>
      <c r="C467" s="10" t="s">
        <v>39</v>
      </c>
      <c r="D467" s="7" t="s">
        <v>937</v>
      </c>
    </row>
    <row r="468" spans="1:4" x14ac:dyDescent="0.25">
      <c r="A468" s="10" t="s">
        <v>1073</v>
      </c>
      <c r="B468" s="10" t="s">
        <v>1074</v>
      </c>
      <c r="C468" s="10" t="s">
        <v>54</v>
      </c>
      <c r="D468" s="7" t="s">
        <v>83</v>
      </c>
    </row>
    <row r="469" spans="1:4" x14ac:dyDescent="0.25">
      <c r="A469" s="10" t="s">
        <v>1075</v>
      </c>
      <c r="B469" s="10" t="s">
        <v>1076</v>
      </c>
      <c r="C469" s="10" t="s">
        <v>39</v>
      </c>
      <c r="D469" s="7" t="s">
        <v>472</v>
      </c>
    </row>
    <row r="470" spans="1:4" x14ac:dyDescent="0.25">
      <c r="A470" s="10" t="s">
        <v>1077</v>
      </c>
      <c r="B470" s="10" t="s">
        <v>1078</v>
      </c>
      <c r="C470" s="10" t="s">
        <v>104</v>
      </c>
      <c r="D470" s="7" t="s">
        <v>1079</v>
      </c>
    </row>
    <row r="471" spans="1:4" x14ac:dyDescent="0.25">
      <c r="A471" s="10" t="s">
        <v>1080</v>
      </c>
      <c r="B471" s="10" t="s">
        <v>1081</v>
      </c>
      <c r="C471" s="10" t="s">
        <v>47</v>
      </c>
      <c r="D471" s="7" t="s">
        <v>51</v>
      </c>
    </row>
    <row r="472" spans="1:4" x14ac:dyDescent="0.25">
      <c r="A472" s="10" t="s">
        <v>1082</v>
      </c>
      <c r="B472" s="10" t="s">
        <v>1083</v>
      </c>
      <c r="C472" s="10" t="s">
        <v>79</v>
      </c>
      <c r="D472" s="7" t="s">
        <v>732</v>
      </c>
    </row>
    <row r="473" spans="1:4" x14ac:dyDescent="0.25">
      <c r="A473" s="10" t="s">
        <v>1084</v>
      </c>
      <c r="B473" s="10" t="s">
        <v>1085</v>
      </c>
      <c r="C473" s="10" t="s">
        <v>47</v>
      </c>
      <c r="D473" s="7" t="s">
        <v>242</v>
      </c>
    </row>
    <row r="474" spans="1:4" x14ac:dyDescent="0.25">
      <c r="A474" s="10" t="s">
        <v>1086</v>
      </c>
      <c r="B474" s="10" t="s">
        <v>1087</v>
      </c>
      <c r="C474" s="10" t="s">
        <v>89</v>
      </c>
      <c r="D474" s="7" t="s">
        <v>608</v>
      </c>
    </row>
    <row r="475" spans="1:4" x14ac:dyDescent="0.25">
      <c r="A475" s="10" t="s">
        <v>1088</v>
      </c>
      <c r="B475" s="10" t="s">
        <v>1089</v>
      </c>
      <c r="C475" s="10" t="s">
        <v>68</v>
      </c>
      <c r="D475" s="7" t="s">
        <v>516</v>
      </c>
    </row>
    <row r="476" spans="1:4" x14ac:dyDescent="0.25">
      <c r="A476" s="10" t="s">
        <v>1090</v>
      </c>
      <c r="B476" s="10" t="s">
        <v>1091</v>
      </c>
      <c r="C476" s="10" t="s">
        <v>75</v>
      </c>
      <c r="D476" s="7" t="s">
        <v>750</v>
      </c>
    </row>
    <row r="477" spans="1:4" x14ac:dyDescent="0.25">
      <c r="A477" s="10" t="s">
        <v>1092</v>
      </c>
      <c r="B477" s="10" t="s">
        <v>1093</v>
      </c>
      <c r="C477" s="10" t="s">
        <v>68</v>
      </c>
      <c r="D477" s="7" t="s">
        <v>101</v>
      </c>
    </row>
    <row r="478" spans="1:4" x14ac:dyDescent="0.25">
      <c r="A478" s="10" t="s">
        <v>1094</v>
      </c>
      <c r="B478" s="10" t="s">
        <v>1095</v>
      </c>
      <c r="C478" s="10" t="s">
        <v>39</v>
      </c>
      <c r="D478" s="7" t="s">
        <v>282</v>
      </c>
    </row>
    <row r="479" spans="1:4" x14ac:dyDescent="0.25">
      <c r="A479" s="10" t="s">
        <v>1096</v>
      </c>
      <c r="B479" s="10" t="s">
        <v>1097</v>
      </c>
      <c r="C479" s="10" t="s">
        <v>109</v>
      </c>
      <c r="D479" s="7" t="s">
        <v>1098</v>
      </c>
    </row>
    <row r="480" spans="1:4" x14ac:dyDescent="0.25">
      <c r="A480" s="10" t="s">
        <v>1099</v>
      </c>
      <c r="B480" s="10" t="s">
        <v>1100</v>
      </c>
      <c r="C480" s="10" t="s">
        <v>109</v>
      </c>
      <c r="D480" s="7" t="s">
        <v>377</v>
      </c>
    </row>
    <row r="481" spans="1:4" x14ac:dyDescent="0.25">
      <c r="A481" s="10" t="s">
        <v>1101</v>
      </c>
      <c r="B481" s="10" t="s">
        <v>1102</v>
      </c>
      <c r="C481" s="10" t="s">
        <v>104</v>
      </c>
      <c r="D481" s="7" t="s">
        <v>721</v>
      </c>
    </row>
    <row r="482" spans="1:4" x14ac:dyDescent="0.25">
      <c r="A482" s="10" t="s">
        <v>1103</v>
      </c>
      <c r="B482" s="10" t="s">
        <v>1104</v>
      </c>
      <c r="C482" s="10" t="s">
        <v>104</v>
      </c>
      <c r="D482" s="7" t="s">
        <v>539</v>
      </c>
    </row>
    <row r="483" spans="1:4" x14ac:dyDescent="0.25">
      <c r="A483" s="10" t="s">
        <v>1105</v>
      </c>
      <c r="B483" s="10" t="s">
        <v>1106</v>
      </c>
      <c r="C483" s="10" t="s">
        <v>39</v>
      </c>
      <c r="D483" s="7" t="s">
        <v>937</v>
      </c>
    </row>
    <row r="484" spans="1:4" x14ac:dyDescent="0.25">
      <c r="A484" s="10" t="s">
        <v>1107</v>
      </c>
      <c r="B484" s="10" t="s">
        <v>1108</v>
      </c>
      <c r="C484" s="10" t="s">
        <v>47</v>
      </c>
      <c r="D484" s="7" t="s">
        <v>72</v>
      </c>
    </row>
    <row r="485" spans="1:4" x14ac:dyDescent="0.25">
      <c r="A485" s="10" t="s">
        <v>1109</v>
      </c>
      <c r="B485" s="10" t="s">
        <v>1110</v>
      </c>
      <c r="C485" s="10" t="s">
        <v>64</v>
      </c>
      <c r="D485" s="7" t="s">
        <v>98</v>
      </c>
    </row>
    <row r="486" spans="1:4" x14ac:dyDescent="0.25">
      <c r="A486" s="10" t="s">
        <v>1111</v>
      </c>
      <c r="B486" s="10" t="s">
        <v>1112</v>
      </c>
      <c r="C486" s="10" t="s">
        <v>68</v>
      </c>
      <c r="D486" s="7" t="s">
        <v>206</v>
      </c>
    </row>
    <row r="487" spans="1:4" x14ac:dyDescent="0.25">
      <c r="A487" s="10" t="s">
        <v>1113</v>
      </c>
      <c r="B487" s="10" t="s">
        <v>1114</v>
      </c>
      <c r="C487" s="10" t="s">
        <v>89</v>
      </c>
      <c r="D487" s="7" t="s">
        <v>586</v>
      </c>
    </row>
    <row r="488" spans="1:4" x14ac:dyDescent="0.25">
      <c r="A488" s="10" t="s">
        <v>1115</v>
      </c>
      <c r="B488" s="10" t="s">
        <v>1116</v>
      </c>
      <c r="C488" s="10" t="s">
        <v>47</v>
      </c>
      <c r="D488" s="7" t="s">
        <v>93</v>
      </c>
    </row>
    <row r="489" spans="1:4" x14ac:dyDescent="0.25">
      <c r="A489" s="10" t="s">
        <v>1117</v>
      </c>
      <c r="B489" s="10" t="s">
        <v>1118</v>
      </c>
      <c r="C489" s="10" t="s">
        <v>54</v>
      </c>
      <c r="D489" s="7" t="s">
        <v>158</v>
      </c>
    </row>
    <row r="490" spans="1:4" x14ac:dyDescent="0.25">
      <c r="A490" s="10" t="s">
        <v>1119</v>
      </c>
      <c r="B490" s="10" t="s">
        <v>1120</v>
      </c>
      <c r="C490" s="10" t="s">
        <v>75</v>
      </c>
      <c r="D490" s="7" t="s">
        <v>114</v>
      </c>
    </row>
    <row r="491" spans="1:4" x14ac:dyDescent="0.25">
      <c r="A491" s="10" t="s">
        <v>1121</v>
      </c>
      <c r="B491" s="10" t="s">
        <v>1122</v>
      </c>
      <c r="C491" s="10" t="s">
        <v>89</v>
      </c>
      <c r="D491" s="7" t="s">
        <v>1123</v>
      </c>
    </row>
    <row r="492" spans="1:4" x14ac:dyDescent="0.25">
      <c r="A492" s="10" t="s">
        <v>1124</v>
      </c>
      <c r="B492" s="10" t="s">
        <v>1125</v>
      </c>
      <c r="C492" s="10" t="s">
        <v>155</v>
      </c>
      <c r="D492" s="7" t="s">
        <v>695</v>
      </c>
    </row>
    <row r="493" spans="1:4" x14ac:dyDescent="0.25">
      <c r="A493" s="10" t="s">
        <v>1126</v>
      </c>
      <c r="B493" s="10" t="s">
        <v>1127</v>
      </c>
      <c r="C493" s="10" t="s">
        <v>68</v>
      </c>
      <c r="D493" s="7" t="s">
        <v>152</v>
      </c>
    </row>
    <row r="494" spans="1:4" x14ac:dyDescent="0.25">
      <c r="A494" s="10" t="s">
        <v>1128</v>
      </c>
      <c r="B494" s="10" t="s">
        <v>1129</v>
      </c>
      <c r="C494" s="10" t="s">
        <v>39</v>
      </c>
      <c r="D494" s="7" t="s">
        <v>427</v>
      </c>
    </row>
    <row r="495" spans="1:4" x14ac:dyDescent="0.25">
      <c r="A495" s="10" t="s">
        <v>1130</v>
      </c>
      <c r="B495" s="10" t="s">
        <v>1131</v>
      </c>
      <c r="C495" s="10" t="s">
        <v>79</v>
      </c>
      <c r="D495" s="7" t="s">
        <v>261</v>
      </c>
    </row>
    <row r="496" spans="1:4" x14ac:dyDescent="0.25">
      <c r="A496" s="10" t="s">
        <v>1132</v>
      </c>
      <c r="B496" s="10" t="s">
        <v>1133</v>
      </c>
      <c r="C496" s="10" t="s">
        <v>64</v>
      </c>
      <c r="D496" s="7" t="s">
        <v>117</v>
      </c>
    </row>
    <row r="497" spans="1:4" x14ac:dyDescent="0.25">
      <c r="A497" s="10" t="s">
        <v>1134</v>
      </c>
      <c r="B497" s="10" t="s">
        <v>1135</v>
      </c>
      <c r="C497" s="10" t="s">
        <v>39</v>
      </c>
      <c r="D497" s="7" t="s">
        <v>427</v>
      </c>
    </row>
    <row r="498" spans="1:4" x14ac:dyDescent="0.25">
      <c r="A498" s="10" t="s">
        <v>1136</v>
      </c>
      <c r="B498" s="10" t="s">
        <v>1137</v>
      </c>
      <c r="C498" s="10" t="s">
        <v>79</v>
      </c>
      <c r="D498" s="7" t="s">
        <v>319</v>
      </c>
    </row>
    <row r="499" spans="1:4" x14ac:dyDescent="0.25">
      <c r="A499" s="10" t="s">
        <v>1138</v>
      </c>
      <c r="B499" s="10" t="s">
        <v>1139</v>
      </c>
      <c r="C499" s="10" t="s">
        <v>54</v>
      </c>
      <c r="D499" s="7" t="s">
        <v>688</v>
      </c>
    </row>
    <row r="500" spans="1:4" x14ac:dyDescent="0.25">
      <c r="A500" s="10" t="s">
        <v>1140</v>
      </c>
      <c r="B500" s="10" t="s">
        <v>1141</v>
      </c>
      <c r="C500" s="10" t="s">
        <v>47</v>
      </c>
      <c r="D500" s="7" t="s">
        <v>48</v>
      </c>
    </row>
    <row r="501" spans="1:4" x14ac:dyDescent="0.25">
      <c r="A501" s="11" t="s">
        <v>1142</v>
      </c>
      <c r="B501" s="11" t="s">
        <v>1143</v>
      </c>
      <c r="C501" s="11" t="s">
        <v>47</v>
      </c>
      <c r="D501" s="8" t="s">
        <v>242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E04F5-003B-5443-B9CD-FB09C15A7A83}">
  <sheetPr codeName="Sheet2">
    <tabColor theme="4" tint="-0.249977111117893"/>
  </sheetPr>
  <dimension ref="A1:SD17"/>
  <sheetViews>
    <sheetView topLeftCell="NL1" workbookViewId="0">
      <selection activeCell="NP5" sqref="NP5"/>
    </sheetView>
  </sheetViews>
  <sheetFormatPr defaultColWidth="10.85546875" defaultRowHeight="15" x14ac:dyDescent="0.25"/>
  <cols>
    <col min="1" max="10" width="11.42578125" customWidth="1"/>
    <col min="11" max="11" width="11.140625" customWidth="1"/>
    <col min="12" max="29" width="11.42578125"/>
    <col min="30" max="30" width="11.42578125" customWidth="1"/>
    <col min="31" max="53" width="11.42578125"/>
    <col min="54" max="54" width="11.140625" customWidth="1"/>
    <col min="55" max="61" width="11.42578125"/>
    <col min="62" max="62" width="11.140625" customWidth="1"/>
    <col min="63" max="83" width="11.42578125"/>
    <col min="84" max="84" width="12.42578125" customWidth="1"/>
    <col min="85" max="104" width="11.42578125"/>
    <col min="105" max="105" width="11.7109375" customWidth="1"/>
    <col min="106" max="498" width="11.42578125" customWidth="1"/>
  </cols>
  <sheetData>
    <row r="1" spans="1:498" ht="15" customHeight="1" x14ac:dyDescent="0.25">
      <c r="A1" s="47" t="s">
        <v>0</v>
      </c>
      <c r="B1" s="44" t="s">
        <v>38</v>
      </c>
      <c r="C1" s="44" t="s">
        <v>43</v>
      </c>
      <c r="D1" s="44" t="s">
        <v>46</v>
      </c>
      <c r="E1" s="44" t="s">
        <v>50</v>
      </c>
      <c r="F1" s="44" t="s">
        <v>53</v>
      </c>
      <c r="G1" s="44" t="s">
        <v>57</v>
      </c>
      <c r="H1" s="44" t="s">
        <v>60</v>
      </c>
      <c r="I1" s="44" t="s">
        <v>63</v>
      </c>
      <c r="J1" s="44" t="s">
        <v>67</v>
      </c>
      <c r="K1" s="44" t="s">
        <v>71</v>
      </c>
      <c r="L1" s="44" t="s">
        <v>74</v>
      </c>
      <c r="M1" s="44" t="s">
        <v>78</v>
      </c>
      <c r="N1" s="44" t="s">
        <v>82</v>
      </c>
      <c r="O1" s="44" t="s">
        <v>85</v>
      </c>
      <c r="P1" s="44" t="s">
        <v>88</v>
      </c>
      <c r="Q1" s="44" t="s">
        <v>92</v>
      </c>
      <c r="R1" s="44" t="s">
        <v>95</v>
      </c>
      <c r="S1" s="44" t="s">
        <v>96</v>
      </c>
      <c r="T1" s="44" t="s">
        <v>100</v>
      </c>
      <c r="U1" s="44" t="s">
        <v>103</v>
      </c>
      <c r="V1" s="44" t="s">
        <v>103</v>
      </c>
      <c r="W1" s="44" t="s">
        <v>108</v>
      </c>
      <c r="X1" s="44" t="s">
        <v>23</v>
      </c>
      <c r="Y1" s="44" t="s">
        <v>113</v>
      </c>
      <c r="Z1" s="44" t="s">
        <v>116</v>
      </c>
      <c r="AA1" s="44" t="s">
        <v>121</v>
      </c>
      <c r="AB1" s="44" t="s">
        <v>119</v>
      </c>
      <c r="AC1" s="44" t="s">
        <v>124</v>
      </c>
      <c r="AD1" s="44" t="s">
        <v>127</v>
      </c>
      <c r="AE1" s="44" t="s">
        <v>130</v>
      </c>
      <c r="AF1" s="44" t="s">
        <v>133</v>
      </c>
      <c r="AG1" s="44" t="s">
        <v>136</v>
      </c>
      <c r="AH1" s="44" t="s">
        <v>139</v>
      </c>
      <c r="AI1" s="44" t="s">
        <v>142</v>
      </c>
      <c r="AJ1" s="44" t="s">
        <v>144</v>
      </c>
      <c r="AK1" s="44" t="s">
        <v>147</v>
      </c>
      <c r="AL1" s="44" t="s">
        <v>149</v>
      </c>
      <c r="AM1" s="44" t="s">
        <v>151</v>
      </c>
      <c r="AN1" s="44" t="s">
        <v>154</v>
      </c>
      <c r="AO1" s="44" t="s">
        <v>157</v>
      </c>
      <c r="AP1" s="44" t="s">
        <v>160</v>
      </c>
      <c r="AQ1" s="44" t="s">
        <v>163</v>
      </c>
      <c r="AR1" s="44" t="s">
        <v>166</v>
      </c>
      <c r="AS1" s="44" t="s">
        <v>168</v>
      </c>
      <c r="AT1" s="44" t="s">
        <v>171</v>
      </c>
      <c r="AU1" s="44" t="s">
        <v>174</v>
      </c>
      <c r="AV1" s="44" t="s">
        <v>174</v>
      </c>
      <c r="AW1" s="44" t="s">
        <v>177</v>
      </c>
      <c r="AX1" s="44" t="s">
        <v>180</v>
      </c>
      <c r="AY1" s="44" t="s">
        <v>183</v>
      </c>
      <c r="AZ1" s="44" t="s">
        <v>185</v>
      </c>
      <c r="BA1" s="44" t="s">
        <v>188</v>
      </c>
      <c r="BB1" s="44" t="s">
        <v>191</v>
      </c>
      <c r="BC1" s="44" t="s">
        <v>194</v>
      </c>
      <c r="BD1" s="44" t="s">
        <v>196</v>
      </c>
      <c r="BE1" s="44" t="s">
        <v>199</v>
      </c>
      <c r="BF1" s="44" t="s">
        <v>202</v>
      </c>
      <c r="BG1" s="44" t="s">
        <v>205</v>
      </c>
      <c r="BH1" s="44" t="s">
        <v>208</v>
      </c>
      <c r="BI1" s="44" t="s">
        <v>210</v>
      </c>
      <c r="BJ1" s="44" t="s">
        <v>213</v>
      </c>
      <c r="BK1" s="44" t="s">
        <v>215</v>
      </c>
      <c r="BL1" s="44" t="s">
        <v>217</v>
      </c>
      <c r="BM1" s="44" t="s">
        <v>220</v>
      </c>
      <c r="BN1" s="44" t="s">
        <v>223</v>
      </c>
      <c r="BO1" s="44" t="s">
        <v>225</v>
      </c>
      <c r="BP1" s="44" t="s">
        <v>227</v>
      </c>
      <c r="BQ1" s="44" t="s">
        <v>229</v>
      </c>
      <c r="BR1" s="44" t="s">
        <v>231</v>
      </c>
      <c r="BS1" s="44" t="s">
        <v>33</v>
      </c>
      <c r="BT1" s="44" t="s">
        <v>233</v>
      </c>
      <c r="BU1" s="44" t="s">
        <v>235</v>
      </c>
      <c r="BV1" s="44" t="s">
        <v>237</v>
      </c>
      <c r="BW1" s="44" t="s">
        <v>239</v>
      </c>
      <c r="BX1" s="44" t="s">
        <v>241</v>
      </c>
      <c r="BY1" s="44" t="s">
        <v>244</v>
      </c>
      <c r="BZ1" s="44" t="s">
        <v>245</v>
      </c>
      <c r="CA1" s="44" t="s">
        <v>249</v>
      </c>
      <c r="CB1" s="44" t="s">
        <v>251</v>
      </c>
      <c r="CC1" s="44" t="s">
        <v>254</v>
      </c>
      <c r="CD1" s="44" t="s">
        <v>256</v>
      </c>
      <c r="CE1" s="44" t="s">
        <v>258</v>
      </c>
      <c r="CF1" s="44" t="s">
        <v>260</v>
      </c>
      <c r="CG1" s="44" t="s">
        <v>263</v>
      </c>
      <c r="CH1" s="44" t="s">
        <v>265</v>
      </c>
      <c r="CI1" s="44" t="s">
        <v>268</v>
      </c>
      <c r="CJ1" s="44" t="s">
        <v>270</v>
      </c>
      <c r="CK1" s="44" t="s">
        <v>273</v>
      </c>
      <c r="CL1" s="44" t="s">
        <v>275</v>
      </c>
      <c r="CM1" s="44" t="s">
        <v>277</v>
      </c>
      <c r="CN1" s="44" t="s">
        <v>279</v>
      </c>
      <c r="CO1" s="44" t="s">
        <v>281</v>
      </c>
      <c r="CP1" s="44" t="s">
        <v>284</v>
      </c>
      <c r="CQ1" s="44" t="s">
        <v>287</v>
      </c>
      <c r="CR1" s="44" t="s">
        <v>289</v>
      </c>
      <c r="CS1" s="44" t="s">
        <v>292</v>
      </c>
      <c r="CT1" s="44" t="s">
        <v>294</v>
      </c>
      <c r="CU1" s="44" t="s">
        <v>296</v>
      </c>
      <c r="CV1" s="44" t="s">
        <v>299</v>
      </c>
      <c r="CW1" s="44" t="s">
        <v>301</v>
      </c>
      <c r="CX1" s="44" t="s">
        <v>304</v>
      </c>
      <c r="CY1" s="44" t="s">
        <v>307</v>
      </c>
      <c r="CZ1" s="44" t="s">
        <v>309</v>
      </c>
      <c r="DA1" s="44" t="s">
        <v>312</v>
      </c>
      <c r="DB1" s="44" t="s">
        <v>315</v>
      </c>
      <c r="DC1" s="44" t="s">
        <v>318</v>
      </c>
      <c r="DD1" s="44" t="s">
        <v>321</v>
      </c>
      <c r="DE1" s="44" t="s">
        <v>323</v>
      </c>
      <c r="DF1" s="44" t="s">
        <v>326</v>
      </c>
      <c r="DG1" s="44" t="s">
        <v>329</v>
      </c>
      <c r="DH1" s="44" t="s">
        <v>331</v>
      </c>
      <c r="DI1" s="44" t="s">
        <v>334</v>
      </c>
      <c r="DJ1" s="44" t="s">
        <v>336</v>
      </c>
      <c r="DK1" s="44" t="s">
        <v>338</v>
      </c>
      <c r="DL1" s="44" t="s">
        <v>341</v>
      </c>
      <c r="DM1" s="44" t="s">
        <v>343</v>
      </c>
      <c r="DN1" s="44" t="s">
        <v>345</v>
      </c>
      <c r="DO1" s="44" t="s">
        <v>347</v>
      </c>
      <c r="DP1" s="44" t="s">
        <v>350</v>
      </c>
      <c r="DQ1" s="44" t="s">
        <v>352</v>
      </c>
      <c r="DR1" s="44" t="s">
        <v>8</v>
      </c>
      <c r="DS1" s="44" t="s">
        <v>354</v>
      </c>
      <c r="DT1" s="44" t="s">
        <v>356</v>
      </c>
      <c r="DU1" s="44" t="s">
        <v>358</v>
      </c>
      <c r="DV1" s="44" t="s">
        <v>360</v>
      </c>
      <c r="DW1" s="44" t="s">
        <v>362</v>
      </c>
      <c r="DX1" s="44" t="s">
        <v>364</v>
      </c>
      <c r="DY1" s="44" t="s">
        <v>366</v>
      </c>
      <c r="DZ1" s="44" t="s">
        <v>368</v>
      </c>
      <c r="EA1" s="44" t="s">
        <v>370</v>
      </c>
      <c r="EB1" s="44" t="s">
        <v>372</v>
      </c>
      <c r="EC1" s="44" t="s">
        <v>374</v>
      </c>
      <c r="ED1" s="44" t="s">
        <v>376</v>
      </c>
      <c r="EE1" s="44" t="s">
        <v>379</v>
      </c>
      <c r="EF1" s="44" t="s">
        <v>381</v>
      </c>
      <c r="EG1" s="44" t="s">
        <v>382</v>
      </c>
      <c r="EH1" s="44" t="s">
        <v>385</v>
      </c>
      <c r="EI1" s="44" t="s">
        <v>387</v>
      </c>
      <c r="EJ1" s="44" t="s">
        <v>389</v>
      </c>
      <c r="EK1" s="44" t="s">
        <v>391</v>
      </c>
      <c r="EL1" s="44" t="s">
        <v>393</v>
      </c>
      <c r="EM1" s="44" t="s">
        <v>395</v>
      </c>
      <c r="EN1" s="44" t="s">
        <v>397</v>
      </c>
      <c r="EO1" s="44" t="s">
        <v>400</v>
      </c>
      <c r="EP1" s="44" t="s">
        <v>403</v>
      </c>
      <c r="EQ1" s="44" t="s">
        <v>405</v>
      </c>
      <c r="ER1" s="44" t="s">
        <v>407</v>
      </c>
      <c r="ES1" s="44" t="s">
        <v>409</v>
      </c>
      <c r="ET1" s="44" t="s">
        <v>411</v>
      </c>
      <c r="EU1" s="44" t="s">
        <v>413</v>
      </c>
      <c r="EV1" s="44" t="s">
        <v>416</v>
      </c>
      <c r="EW1" s="44" t="s">
        <v>418</v>
      </c>
      <c r="EX1" s="44" t="s">
        <v>420</v>
      </c>
      <c r="EY1" s="44" t="s">
        <v>422</v>
      </c>
      <c r="EZ1" s="44" t="s">
        <v>424</v>
      </c>
      <c r="FA1" s="44" t="s">
        <v>426</v>
      </c>
      <c r="FB1" s="44" t="s">
        <v>429</v>
      </c>
      <c r="FC1" s="44" t="s">
        <v>432</v>
      </c>
      <c r="FD1" s="44" t="s">
        <v>435</v>
      </c>
      <c r="FE1" s="44" t="s">
        <v>437</v>
      </c>
      <c r="FF1" s="44" t="s">
        <v>439</v>
      </c>
      <c r="FG1" s="44" t="s">
        <v>441</v>
      </c>
      <c r="FH1" s="44" t="s">
        <v>443</v>
      </c>
      <c r="FI1" s="44" t="s">
        <v>445</v>
      </c>
      <c r="FJ1" s="44" t="s">
        <v>447</v>
      </c>
      <c r="FK1" s="44" t="s">
        <v>449</v>
      </c>
      <c r="FL1" s="44" t="s">
        <v>451</v>
      </c>
      <c r="FM1" s="44" t="s">
        <v>453</v>
      </c>
      <c r="FN1" s="44" t="s">
        <v>456</v>
      </c>
      <c r="FO1" s="44" t="s">
        <v>458</v>
      </c>
      <c r="FP1" s="44" t="s">
        <v>460</v>
      </c>
      <c r="FQ1" s="44" t="s">
        <v>462</v>
      </c>
      <c r="FR1" s="44" t="s">
        <v>464</v>
      </c>
      <c r="FS1" s="44" t="s">
        <v>466</v>
      </c>
      <c r="FT1" s="44" t="s">
        <v>468</v>
      </c>
      <c r="FU1" s="44" t="s">
        <v>469</v>
      </c>
      <c r="FV1" s="44" t="s">
        <v>471</v>
      </c>
      <c r="FW1" s="44" t="s">
        <v>474</v>
      </c>
      <c r="FX1" s="44" t="s">
        <v>476</v>
      </c>
      <c r="FY1" s="44" t="s">
        <v>478</v>
      </c>
      <c r="FZ1" s="44" t="s">
        <v>480</v>
      </c>
      <c r="GA1" s="44" t="s">
        <v>483</v>
      </c>
      <c r="GB1" s="44" t="s">
        <v>485</v>
      </c>
      <c r="GC1" s="44" t="s">
        <v>488</v>
      </c>
      <c r="GD1" s="44" t="s">
        <v>490</v>
      </c>
      <c r="GE1" s="44" t="s">
        <v>492</v>
      </c>
      <c r="GF1" s="44" t="s">
        <v>494</v>
      </c>
      <c r="GG1" s="44" t="s">
        <v>496</v>
      </c>
      <c r="GH1" s="44" t="s">
        <v>498</v>
      </c>
      <c r="GI1" s="44" t="s">
        <v>29</v>
      </c>
      <c r="GJ1" s="44" t="s">
        <v>501</v>
      </c>
      <c r="GK1" s="44" t="s">
        <v>503</v>
      </c>
      <c r="GL1" s="44" t="s">
        <v>505</v>
      </c>
      <c r="GM1" s="44" t="s">
        <v>507</v>
      </c>
      <c r="GN1" s="44" t="s">
        <v>510</v>
      </c>
      <c r="GO1" s="44" t="s">
        <v>513</v>
      </c>
      <c r="GP1" s="44" t="s">
        <v>515</v>
      </c>
      <c r="GQ1" s="44" t="s">
        <v>518</v>
      </c>
      <c r="GR1" s="44" t="s">
        <v>520</v>
      </c>
      <c r="GS1" s="44" t="s">
        <v>522</v>
      </c>
      <c r="GT1" s="44" t="s">
        <v>524</v>
      </c>
      <c r="GU1" s="44" t="s">
        <v>526</v>
      </c>
      <c r="GV1" s="44" t="s">
        <v>528</v>
      </c>
      <c r="GW1" s="44" t="s">
        <v>530</v>
      </c>
      <c r="GX1" s="44" t="s">
        <v>533</v>
      </c>
      <c r="GY1" s="44" t="s">
        <v>536</v>
      </c>
      <c r="GZ1" s="44" t="s">
        <v>538</v>
      </c>
      <c r="HA1" s="44" t="s">
        <v>538</v>
      </c>
      <c r="HB1" s="44" t="s">
        <v>542</v>
      </c>
      <c r="HC1" s="44" t="s">
        <v>544</v>
      </c>
      <c r="HD1" s="44" t="s">
        <v>547</v>
      </c>
      <c r="HE1" s="44" t="s">
        <v>550</v>
      </c>
      <c r="HF1" s="44" t="s">
        <v>552</v>
      </c>
      <c r="HG1" s="44" t="s">
        <v>554</v>
      </c>
      <c r="HH1" s="44" t="s">
        <v>556</v>
      </c>
      <c r="HI1" s="44" t="s">
        <v>558</v>
      </c>
      <c r="HJ1" s="44" t="s">
        <v>9</v>
      </c>
      <c r="HK1" s="44" t="s">
        <v>561</v>
      </c>
      <c r="HL1" s="44" t="s">
        <v>563</v>
      </c>
      <c r="HM1" s="44" t="s">
        <v>565</v>
      </c>
      <c r="HN1" s="44" t="s">
        <v>568</v>
      </c>
      <c r="HO1" s="44" t="s">
        <v>570</v>
      </c>
      <c r="HP1" s="44" t="s">
        <v>572</v>
      </c>
      <c r="HQ1" s="44" t="s">
        <v>10</v>
      </c>
      <c r="HR1" s="44" t="s">
        <v>575</v>
      </c>
      <c r="HS1" s="44" t="s">
        <v>577</v>
      </c>
      <c r="HT1" s="44" t="s">
        <v>579</v>
      </c>
      <c r="HU1" s="44" t="s">
        <v>582</v>
      </c>
      <c r="HV1" s="44" t="s">
        <v>585</v>
      </c>
      <c r="HW1" s="44" t="s">
        <v>588</v>
      </c>
      <c r="HX1" s="44" t="s">
        <v>590</v>
      </c>
      <c r="HY1" s="44" t="s">
        <v>592</v>
      </c>
      <c r="HZ1" s="44" t="s">
        <v>594</v>
      </c>
      <c r="IA1" s="44" t="s">
        <v>596</v>
      </c>
      <c r="IB1" s="44" t="s">
        <v>598</v>
      </c>
      <c r="IC1" s="44" t="s">
        <v>600</v>
      </c>
      <c r="ID1" s="44" t="s">
        <v>603</v>
      </c>
      <c r="IE1" s="44" t="s">
        <v>605</v>
      </c>
      <c r="IF1" s="44" t="s">
        <v>607</v>
      </c>
      <c r="IG1" s="44" t="s">
        <v>610</v>
      </c>
      <c r="IH1" s="44" t="s">
        <v>611</v>
      </c>
      <c r="II1" s="44" t="s">
        <v>613</v>
      </c>
      <c r="IJ1" s="44" t="s">
        <v>615</v>
      </c>
      <c r="IK1" s="44" t="s">
        <v>617</v>
      </c>
      <c r="IL1" s="44" t="s">
        <v>619</v>
      </c>
      <c r="IM1" s="44" t="s">
        <v>620</v>
      </c>
      <c r="IN1" s="44" t="s">
        <v>622</v>
      </c>
      <c r="IO1" s="44" t="s">
        <v>624</v>
      </c>
      <c r="IP1" s="44" t="s">
        <v>626</v>
      </c>
      <c r="IQ1" s="44" t="s">
        <v>628</v>
      </c>
      <c r="IR1" s="44" t="s">
        <v>629</v>
      </c>
      <c r="IS1" s="44" t="s">
        <v>631</v>
      </c>
      <c r="IT1" s="44" t="s">
        <v>634</v>
      </c>
      <c r="IU1" s="44" t="s">
        <v>636</v>
      </c>
      <c r="IV1" s="44" t="s">
        <v>638</v>
      </c>
      <c r="IW1" s="44" t="s">
        <v>640</v>
      </c>
      <c r="IX1" s="44" t="s">
        <v>642</v>
      </c>
      <c r="IY1" s="44" t="s">
        <v>644</v>
      </c>
      <c r="IZ1" s="44" t="s">
        <v>647</v>
      </c>
      <c r="JA1" s="44" t="s">
        <v>649</v>
      </c>
      <c r="JB1" s="44" t="s">
        <v>651</v>
      </c>
      <c r="JC1" s="44" t="s">
        <v>653</v>
      </c>
      <c r="JD1" s="44" t="s">
        <v>656</v>
      </c>
      <c r="JE1" s="44" t="s">
        <v>658</v>
      </c>
      <c r="JF1" s="44" t="s">
        <v>661</v>
      </c>
      <c r="JG1" s="44" t="s">
        <v>664</v>
      </c>
      <c r="JH1" s="44" t="s">
        <v>667</v>
      </c>
      <c r="JI1" s="44" t="s">
        <v>669</v>
      </c>
      <c r="JJ1" s="44" t="s">
        <v>671</v>
      </c>
      <c r="JK1" s="44" t="s">
        <v>673</v>
      </c>
      <c r="JL1" s="44" t="s">
        <v>675</v>
      </c>
      <c r="JM1" s="44" t="s">
        <v>677</v>
      </c>
      <c r="JN1" s="44" t="s">
        <v>679</v>
      </c>
      <c r="JO1" s="44" t="s">
        <v>683</v>
      </c>
      <c r="JP1" s="44" t="s">
        <v>685</v>
      </c>
      <c r="JQ1" s="44" t="s">
        <v>687</v>
      </c>
      <c r="JR1" s="44" t="s">
        <v>690</v>
      </c>
      <c r="JS1" s="44" t="s">
        <v>692</v>
      </c>
      <c r="JT1" s="44" t="s">
        <v>694</v>
      </c>
      <c r="JU1" s="44" t="s">
        <v>697</v>
      </c>
      <c r="JV1" s="44" t="s">
        <v>699</v>
      </c>
      <c r="JW1" s="44" t="s">
        <v>701</v>
      </c>
      <c r="JX1" s="44" t="s">
        <v>704</v>
      </c>
      <c r="JY1" s="44" t="s">
        <v>706</v>
      </c>
      <c r="JZ1" s="44" t="s">
        <v>708</v>
      </c>
      <c r="KA1" s="44" t="s">
        <v>710</v>
      </c>
      <c r="KB1" s="44" t="s">
        <v>712</v>
      </c>
      <c r="KC1" s="44" t="s">
        <v>714</v>
      </c>
      <c r="KD1" s="44" t="s">
        <v>716</v>
      </c>
      <c r="KE1" s="44" t="s">
        <v>718</v>
      </c>
      <c r="KF1" s="44" t="s">
        <v>720</v>
      </c>
      <c r="KG1" s="44" t="s">
        <v>725</v>
      </c>
      <c r="KH1" s="44" t="s">
        <v>727</v>
      </c>
      <c r="KI1" s="44" t="s">
        <v>729</v>
      </c>
      <c r="KJ1" s="44" t="s">
        <v>731</v>
      </c>
      <c r="KK1" s="44" t="s">
        <v>734</v>
      </c>
      <c r="KL1" s="44" t="s">
        <v>736</v>
      </c>
      <c r="KM1" s="44" t="s">
        <v>738</v>
      </c>
      <c r="KN1" s="44" t="s">
        <v>740</v>
      </c>
      <c r="KO1" s="44" t="s">
        <v>743</v>
      </c>
      <c r="KP1" s="44" t="s">
        <v>745</v>
      </c>
      <c r="KQ1" s="44" t="s">
        <v>747</v>
      </c>
      <c r="KR1" s="44" t="s">
        <v>749</v>
      </c>
      <c r="KS1" s="44" t="s">
        <v>752</v>
      </c>
      <c r="KT1" s="44" t="s">
        <v>754</v>
      </c>
      <c r="KU1" s="44" t="s">
        <v>756</v>
      </c>
      <c r="KV1" s="44" t="s">
        <v>758</v>
      </c>
      <c r="KW1" s="44" t="s">
        <v>760</v>
      </c>
      <c r="KX1" s="44" t="s">
        <v>762</v>
      </c>
      <c r="KY1" s="44" t="s">
        <v>764</v>
      </c>
      <c r="KZ1" s="44" t="s">
        <v>765</v>
      </c>
      <c r="LA1" s="44" t="s">
        <v>766</v>
      </c>
      <c r="LB1" s="44" t="s">
        <v>768</v>
      </c>
      <c r="LC1" s="44" t="s">
        <v>770</v>
      </c>
      <c r="LD1" s="44" t="s">
        <v>772</v>
      </c>
      <c r="LE1" s="44" t="s">
        <v>774</v>
      </c>
      <c r="LF1" s="44" t="s">
        <v>776</v>
      </c>
      <c r="LG1" s="44" t="s">
        <v>778</v>
      </c>
      <c r="LH1" s="44" t="s">
        <v>780</v>
      </c>
      <c r="LI1" s="44" t="s">
        <v>782</v>
      </c>
      <c r="LJ1" s="44" t="s">
        <v>784</v>
      </c>
      <c r="LK1" s="44" t="s">
        <v>787</v>
      </c>
      <c r="LL1" s="44" t="s">
        <v>789</v>
      </c>
      <c r="LM1" s="44" t="s">
        <v>792</v>
      </c>
      <c r="LN1" s="44" t="s">
        <v>794</v>
      </c>
      <c r="LO1" s="44" t="s">
        <v>796</v>
      </c>
      <c r="LP1" s="44" t="s">
        <v>798</v>
      </c>
      <c r="LQ1" s="44" t="s">
        <v>800</v>
      </c>
      <c r="LR1" s="44" t="s">
        <v>802</v>
      </c>
      <c r="LS1" s="44" t="s">
        <v>804</v>
      </c>
      <c r="LT1" s="44" t="s">
        <v>805</v>
      </c>
      <c r="LU1" s="44" t="s">
        <v>807</v>
      </c>
      <c r="LV1" s="44" t="s">
        <v>809</v>
      </c>
      <c r="LW1" s="44" t="s">
        <v>811</v>
      </c>
      <c r="LX1" s="44" t="s">
        <v>813</v>
      </c>
      <c r="LY1" s="44" t="s">
        <v>816</v>
      </c>
      <c r="LZ1" s="44" t="s">
        <v>816</v>
      </c>
      <c r="MA1" s="44" t="s">
        <v>820</v>
      </c>
      <c r="MB1" s="44" t="s">
        <v>822</v>
      </c>
      <c r="MC1" s="44" t="s">
        <v>824</v>
      </c>
      <c r="MD1" s="44" t="s">
        <v>826</v>
      </c>
      <c r="ME1" s="44" t="s">
        <v>828</v>
      </c>
      <c r="MF1" s="44" t="s">
        <v>830</v>
      </c>
      <c r="MG1" s="44" t="s">
        <v>832</v>
      </c>
      <c r="MH1" s="44" t="s">
        <v>834</v>
      </c>
      <c r="MI1" s="44" t="s">
        <v>836</v>
      </c>
      <c r="MJ1" s="44" t="s">
        <v>838</v>
      </c>
      <c r="MK1" s="44" t="s">
        <v>841</v>
      </c>
      <c r="ML1" s="44" t="s">
        <v>843</v>
      </c>
      <c r="MM1" s="44" t="s">
        <v>845</v>
      </c>
      <c r="MN1" s="44" t="s">
        <v>847</v>
      </c>
      <c r="MO1" s="44" t="s">
        <v>849</v>
      </c>
      <c r="MP1" s="44" t="s">
        <v>851</v>
      </c>
      <c r="MQ1" s="44" t="s">
        <v>853</v>
      </c>
      <c r="MR1" s="44" t="s">
        <v>855</v>
      </c>
      <c r="MS1" s="44" t="s">
        <v>857</v>
      </c>
      <c r="MT1" s="44" t="s">
        <v>859</v>
      </c>
      <c r="MU1" s="44" t="s">
        <v>861</v>
      </c>
      <c r="MV1" s="44" t="s">
        <v>863</v>
      </c>
      <c r="MW1" s="44" t="s">
        <v>865</v>
      </c>
      <c r="MX1" s="44" t="s">
        <v>867</v>
      </c>
      <c r="MY1" s="44" t="s">
        <v>869</v>
      </c>
      <c r="MZ1" s="44" t="s">
        <v>871</v>
      </c>
      <c r="NA1" s="44" t="s">
        <v>873</v>
      </c>
      <c r="NB1" s="44" t="s">
        <v>875</v>
      </c>
      <c r="NC1" s="44" t="s">
        <v>877</v>
      </c>
      <c r="ND1" s="44" t="s">
        <v>879</v>
      </c>
      <c r="NE1" s="44" t="s">
        <v>880</v>
      </c>
      <c r="NF1" s="44" t="s">
        <v>27</v>
      </c>
      <c r="NG1" s="44" t="s">
        <v>882</v>
      </c>
      <c r="NH1" s="44" t="s">
        <v>884</v>
      </c>
      <c r="NI1" s="44" t="s">
        <v>886</v>
      </c>
      <c r="NJ1" s="44" t="s">
        <v>888</v>
      </c>
      <c r="NK1" s="44" t="s">
        <v>890</v>
      </c>
      <c r="NL1" s="44" t="s">
        <v>892</v>
      </c>
      <c r="NM1" s="44" t="s">
        <v>894</v>
      </c>
      <c r="NN1" s="44" t="s">
        <v>896</v>
      </c>
      <c r="NO1" s="44" t="s">
        <v>898</v>
      </c>
      <c r="NP1" s="44" t="s">
        <v>900</v>
      </c>
      <c r="NQ1" s="44" t="s">
        <v>902</v>
      </c>
      <c r="NR1" s="44" t="s">
        <v>904</v>
      </c>
      <c r="NS1" s="44" t="s">
        <v>907</v>
      </c>
      <c r="NT1" s="44" t="s">
        <v>909</v>
      </c>
      <c r="NU1" s="44" t="s">
        <v>910</v>
      </c>
      <c r="NV1" s="44" t="s">
        <v>912</v>
      </c>
      <c r="NW1" s="44" t="s">
        <v>914</v>
      </c>
      <c r="NX1" s="44" t="s">
        <v>916</v>
      </c>
      <c r="NY1" s="44" t="s">
        <v>918</v>
      </c>
      <c r="NZ1" s="44" t="s">
        <v>920</v>
      </c>
      <c r="OA1" s="44" t="s">
        <v>922</v>
      </c>
      <c r="OB1" s="44" t="s">
        <v>924</v>
      </c>
      <c r="OC1" s="44" t="s">
        <v>926</v>
      </c>
      <c r="OD1" s="44" t="s">
        <v>928</v>
      </c>
      <c r="OE1" s="44" t="s">
        <v>930</v>
      </c>
      <c r="OF1" s="44" t="s">
        <v>932</v>
      </c>
      <c r="OG1" s="44" t="s">
        <v>934</v>
      </c>
      <c r="OH1" s="44" t="s">
        <v>936</v>
      </c>
      <c r="OI1" s="44" t="s">
        <v>939</v>
      </c>
      <c r="OJ1" s="44" t="s">
        <v>941</v>
      </c>
      <c r="OK1" s="44" t="s">
        <v>943</v>
      </c>
      <c r="OL1" s="44" t="s">
        <v>945</v>
      </c>
      <c r="OM1" s="44" t="s">
        <v>947</v>
      </c>
      <c r="ON1" s="44" t="s">
        <v>949</v>
      </c>
      <c r="OO1" s="44" t="s">
        <v>951</v>
      </c>
      <c r="OP1" s="44" t="s">
        <v>954</v>
      </c>
      <c r="OQ1" s="44" t="s">
        <v>956</v>
      </c>
      <c r="OR1" s="44" t="s">
        <v>958</v>
      </c>
      <c r="OS1" s="44" t="s">
        <v>960</v>
      </c>
      <c r="OT1" s="44" t="s">
        <v>962</v>
      </c>
      <c r="OU1" s="44" t="s">
        <v>963</v>
      </c>
      <c r="OV1" s="44" t="s">
        <v>965</v>
      </c>
      <c r="OW1" s="44" t="s">
        <v>967</v>
      </c>
      <c r="OX1" s="44" t="s">
        <v>969</v>
      </c>
      <c r="OY1" s="44" t="s">
        <v>971</v>
      </c>
      <c r="OZ1" s="44" t="s">
        <v>973</v>
      </c>
      <c r="PA1" s="44" t="s">
        <v>975</v>
      </c>
      <c r="PB1" s="44" t="s">
        <v>977</v>
      </c>
      <c r="PC1" s="44" t="s">
        <v>979</v>
      </c>
      <c r="PD1" s="44" t="s">
        <v>981</v>
      </c>
      <c r="PE1" s="44" t="s">
        <v>983</v>
      </c>
      <c r="PF1" s="44" t="s">
        <v>31</v>
      </c>
      <c r="PG1" s="44" t="s">
        <v>985</v>
      </c>
      <c r="PH1" s="44" t="s">
        <v>987</v>
      </c>
      <c r="PI1" s="44" t="s">
        <v>989</v>
      </c>
      <c r="PJ1" s="44" t="s">
        <v>991</v>
      </c>
      <c r="PK1" s="44" t="s">
        <v>993</v>
      </c>
      <c r="PL1" s="44" t="s">
        <v>995</v>
      </c>
      <c r="PM1" s="44" t="s">
        <v>997</v>
      </c>
      <c r="PN1" s="44" t="s">
        <v>1000</v>
      </c>
      <c r="PO1" s="44" t="s">
        <v>1003</v>
      </c>
      <c r="PP1" s="44" t="s">
        <v>1005</v>
      </c>
      <c r="PQ1" s="44" t="s">
        <v>1007</v>
      </c>
      <c r="PR1" s="44" t="s">
        <v>1009</v>
      </c>
      <c r="PS1" s="44" t="s">
        <v>1011</v>
      </c>
      <c r="PT1" s="44" t="s">
        <v>1013</v>
      </c>
      <c r="PU1" s="44" t="s">
        <v>1015</v>
      </c>
      <c r="PV1" s="44" t="s">
        <v>1017</v>
      </c>
      <c r="PW1" s="44" t="s">
        <v>1019</v>
      </c>
      <c r="PX1" s="44" t="s">
        <v>1021</v>
      </c>
      <c r="PY1" s="44" t="s">
        <v>1023</v>
      </c>
      <c r="PZ1" s="44" t="s">
        <v>1025</v>
      </c>
      <c r="QA1" s="44" t="s">
        <v>1027</v>
      </c>
      <c r="QB1" s="44" t="s">
        <v>1029</v>
      </c>
      <c r="QC1" s="44" t="s">
        <v>1031</v>
      </c>
      <c r="QD1" s="44" t="s">
        <v>1033</v>
      </c>
      <c r="QE1" s="44" t="s">
        <v>1035</v>
      </c>
      <c r="QF1" s="44" t="s">
        <v>1037</v>
      </c>
      <c r="QG1" s="44" t="s">
        <v>1039</v>
      </c>
      <c r="QH1" s="44" t="s">
        <v>1041</v>
      </c>
      <c r="QI1" s="44" t="s">
        <v>1043</v>
      </c>
      <c r="QJ1" s="44" t="s">
        <v>1045</v>
      </c>
      <c r="QK1" s="44" t="s">
        <v>1047</v>
      </c>
      <c r="QL1" s="44" t="s">
        <v>1049</v>
      </c>
      <c r="QM1" s="44" t="s">
        <v>1052</v>
      </c>
      <c r="QN1" s="44" t="s">
        <v>1054</v>
      </c>
      <c r="QO1" s="44" t="s">
        <v>1056</v>
      </c>
      <c r="QP1" s="44" t="s">
        <v>1058</v>
      </c>
      <c r="QQ1" s="44" t="s">
        <v>1060</v>
      </c>
      <c r="QR1" s="44" t="s">
        <v>1062</v>
      </c>
      <c r="QS1" s="44" t="s">
        <v>1064</v>
      </c>
      <c r="QT1" s="44" t="s">
        <v>1066</v>
      </c>
      <c r="QU1" s="44" t="s">
        <v>1068</v>
      </c>
      <c r="QV1" s="44" t="s">
        <v>1070</v>
      </c>
      <c r="QW1" s="44" t="s">
        <v>1074</v>
      </c>
      <c r="QX1" s="44" t="s">
        <v>1076</v>
      </c>
      <c r="QY1" s="44" t="s">
        <v>1078</v>
      </c>
      <c r="QZ1" s="44" t="s">
        <v>1081</v>
      </c>
      <c r="RA1" s="44" t="s">
        <v>1083</v>
      </c>
      <c r="RB1" s="44" t="s">
        <v>1085</v>
      </c>
      <c r="RC1" s="44" t="s">
        <v>1087</v>
      </c>
      <c r="RD1" s="44" t="s">
        <v>1089</v>
      </c>
      <c r="RE1" s="44" t="s">
        <v>1091</v>
      </c>
      <c r="RF1" s="44" t="s">
        <v>1093</v>
      </c>
      <c r="RG1" s="44" t="s">
        <v>1095</v>
      </c>
      <c r="RH1" s="44" t="s">
        <v>1097</v>
      </c>
      <c r="RI1" s="44" t="s">
        <v>1100</v>
      </c>
      <c r="RJ1" s="44" t="s">
        <v>1102</v>
      </c>
      <c r="RK1" s="44" t="s">
        <v>1104</v>
      </c>
      <c r="RL1" s="44" t="s">
        <v>1106</v>
      </c>
      <c r="RM1" s="44" t="s">
        <v>1108</v>
      </c>
      <c r="RN1" s="44" t="s">
        <v>1110</v>
      </c>
      <c r="RO1" s="44" t="s">
        <v>1112</v>
      </c>
      <c r="RP1" s="44" t="s">
        <v>1114</v>
      </c>
      <c r="RQ1" s="44" t="s">
        <v>1116</v>
      </c>
      <c r="RR1" s="44" t="s">
        <v>1118</v>
      </c>
      <c r="RS1" s="44" t="s">
        <v>1120</v>
      </c>
      <c r="RT1" s="44" t="s">
        <v>1122</v>
      </c>
      <c r="RU1" s="44" t="s">
        <v>1125</v>
      </c>
      <c r="RV1" s="44" t="s">
        <v>1127</v>
      </c>
      <c r="RW1" s="44" t="s">
        <v>1129</v>
      </c>
      <c r="RX1" s="44" t="s">
        <v>1131</v>
      </c>
      <c r="RY1" s="44" t="s">
        <v>1133</v>
      </c>
      <c r="RZ1" s="44" t="s">
        <v>1135</v>
      </c>
      <c r="SA1" s="44" t="s">
        <v>1137</v>
      </c>
      <c r="SB1" s="44" t="s">
        <v>1139</v>
      </c>
      <c r="SC1" s="44" t="s">
        <v>1141</v>
      </c>
      <c r="SD1" s="44" t="s">
        <v>1143</v>
      </c>
    </row>
    <row r="2" spans="1:498" x14ac:dyDescent="0.25">
      <c r="A2" s="4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5"/>
      <c r="GB2" s="45"/>
      <c r="GC2" s="45"/>
      <c r="GD2" s="45"/>
      <c r="GE2" s="45"/>
      <c r="GF2" s="45"/>
      <c r="GG2" s="45"/>
      <c r="GH2" s="45"/>
      <c r="GI2" s="45"/>
      <c r="GJ2" s="45"/>
      <c r="GK2" s="45"/>
      <c r="GL2" s="45"/>
      <c r="GM2" s="45"/>
      <c r="GN2" s="45"/>
      <c r="GO2" s="45"/>
      <c r="GP2" s="45"/>
      <c r="GQ2" s="45"/>
      <c r="GR2" s="45"/>
      <c r="GS2" s="45"/>
      <c r="GT2" s="45"/>
      <c r="GU2" s="45"/>
      <c r="GV2" s="45"/>
      <c r="GW2" s="45"/>
      <c r="GX2" s="45"/>
      <c r="GY2" s="45"/>
      <c r="GZ2" s="45"/>
      <c r="HA2" s="45"/>
      <c r="HB2" s="45"/>
      <c r="HC2" s="45"/>
      <c r="HD2" s="45"/>
      <c r="HE2" s="45"/>
      <c r="HF2" s="45"/>
      <c r="HG2" s="45"/>
      <c r="HH2" s="45"/>
      <c r="HI2" s="45"/>
      <c r="HJ2" s="45"/>
      <c r="HK2" s="45"/>
      <c r="HL2" s="45"/>
      <c r="HM2" s="45"/>
      <c r="HN2" s="45"/>
      <c r="HO2" s="45"/>
      <c r="HP2" s="45"/>
      <c r="HQ2" s="45"/>
      <c r="HR2" s="45"/>
      <c r="HS2" s="45"/>
      <c r="HT2" s="45"/>
      <c r="HU2" s="45"/>
      <c r="HV2" s="45"/>
      <c r="HW2" s="45"/>
      <c r="HX2" s="45"/>
      <c r="HY2" s="45"/>
      <c r="HZ2" s="45"/>
      <c r="IA2" s="45"/>
      <c r="IB2" s="45"/>
      <c r="IC2" s="45"/>
      <c r="ID2" s="45"/>
      <c r="IE2" s="45"/>
      <c r="IF2" s="45"/>
      <c r="IG2" s="45"/>
      <c r="IH2" s="45"/>
      <c r="II2" s="45"/>
      <c r="IJ2" s="45"/>
      <c r="IK2" s="45"/>
      <c r="IL2" s="45"/>
      <c r="IM2" s="45"/>
      <c r="IN2" s="45"/>
      <c r="IO2" s="45"/>
      <c r="IP2" s="45"/>
      <c r="IQ2" s="45"/>
      <c r="IR2" s="45"/>
      <c r="IS2" s="45"/>
      <c r="IT2" s="45"/>
      <c r="IU2" s="45"/>
      <c r="IV2" s="45"/>
      <c r="IW2" s="45"/>
      <c r="IX2" s="45"/>
      <c r="IY2" s="45"/>
      <c r="IZ2" s="45"/>
      <c r="JA2" s="45"/>
      <c r="JB2" s="45"/>
      <c r="JC2" s="45"/>
      <c r="JD2" s="45"/>
      <c r="JE2" s="45"/>
      <c r="JF2" s="45"/>
      <c r="JG2" s="45"/>
      <c r="JH2" s="45"/>
      <c r="JI2" s="45"/>
      <c r="JJ2" s="45"/>
      <c r="JK2" s="45"/>
      <c r="JL2" s="45"/>
      <c r="JM2" s="45"/>
      <c r="JN2" s="45"/>
      <c r="JO2" s="45"/>
      <c r="JP2" s="45"/>
      <c r="JQ2" s="45"/>
      <c r="JR2" s="45"/>
      <c r="JS2" s="45"/>
      <c r="JT2" s="45"/>
      <c r="JU2" s="45"/>
      <c r="JV2" s="45"/>
      <c r="JW2" s="45"/>
      <c r="JX2" s="45"/>
      <c r="JY2" s="45"/>
      <c r="JZ2" s="45"/>
      <c r="KA2" s="45"/>
      <c r="KB2" s="45"/>
      <c r="KC2" s="45"/>
      <c r="KD2" s="45"/>
      <c r="KE2" s="45"/>
      <c r="KF2" s="45"/>
      <c r="KG2" s="45"/>
      <c r="KH2" s="45"/>
      <c r="KI2" s="45"/>
      <c r="KJ2" s="45"/>
      <c r="KK2" s="45"/>
      <c r="KL2" s="45"/>
      <c r="KM2" s="45"/>
      <c r="KN2" s="45"/>
      <c r="KO2" s="45"/>
      <c r="KP2" s="45"/>
      <c r="KQ2" s="45"/>
      <c r="KR2" s="45"/>
      <c r="KS2" s="45"/>
      <c r="KT2" s="45"/>
      <c r="KU2" s="45"/>
      <c r="KV2" s="45"/>
      <c r="KW2" s="45"/>
      <c r="KX2" s="45"/>
      <c r="KY2" s="45"/>
      <c r="KZ2" s="45"/>
      <c r="LA2" s="45"/>
      <c r="LB2" s="45"/>
      <c r="LC2" s="45"/>
      <c r="LD2" s="45"/>
      <c r="LE2" s="45"/>
      <c r="LF2" s="45"/>
      <c r="LG2" s="45"/>
      <c r="LH2" s="45"/>
      <c r="LI2" s="45"/>
      <c r="LJ2" s="45"/>
      <c r="LK2" s="45"/>
      <c r="LL2" s="45"/>
      <c r="LM2" s="45"/>
      <c r="LN2" s="45"/>
      <c r="LO2" s="45"/>
      <c r="LP2" s="45"/>
      <c r="LQ2" s="45"/>
      <c r="LR2" s="45"/>
      <c r="LS2" s="45"/>
      <c r="LT2" s="45"/>
      <c r="LU2" s="45"/>
      <c r="LV2" s="45"/>
      <c r="LW2" s="45"/>
      <c r="LX2" s="45"/>
      <c r="LY2" s="45"/>
      <c r="LZ2" s="45"/>
      <c r="MA2" s="45"/>
      <c r="MB2" s="45"/>
      <c r="MC2" s="45"/>
      <c r="MD2" s="45"/>
      <c r="ME2" s="45"/>
      <c r="MF2" s="45"/>
      <c r="MG2" s="45"/>
      <c r="MH2" s="45"/>
      <c r="MI2" s="45"/>
      <c r="MJ2" s="45"/>
      <c r="MK2" s="45"/>
      <c r="ML2" s="45"/>
      <c r="MM2" s="45"/>
      <c r="MN2" s="45"/>
      <c r="MO2" s="45"/>
      <c r="MP2" s="45"/>
      <c r="MQ2" s="45"/>
      <c r="MR2" s="45"/>
      <c r="MS2" s="45"/>
      <c r="MT2" s="45"/>
      <c r="MU2" s="45"/>
      <c r="MV2" s="45"/>
      <c r="MW2" s="45"/>
      <c r="MX2" s="45"/>
      <c r="MY2" s="45"/>
      <c r="MZ2" s="45"/>
      <c r="NA2" s="45"/>
      <c r="NB2" s="45"/>
      <c r="NC2" s="45"/>
      <c r="ND2" s="45"/>
      <c r="NE2" s="45"/>
      <c r="NF2" s="45"/>
      <c r="NG2" s="45"/>
      <c r="NH2" s="45"/>
      <c r="NI2" s="45"/>
      <c r="NJ2" s="45"/>
      <c r="NK2" s="45"/>
      <c r="NL2" s="45"/>
      <c r="NM2" s="45"/>
      <c r="NN2" s="45"/>
      <c r="NO2" s="45"/>
      <c r="NP2" s="45"/>
      <c r="NQ2" s="45"/>
      <c r="NR2" s="45"/>
      <c r="NS2" s="45"/>
      <c r="NT2" s="45"/>
      <c r="NU2" s="45"/>
      <c r="NV2" s="45"/>
      <c r="NW2" s="45"/>
      <c r="NX2" s="45"/>
      <c r="NY2" s="45"/>
      <c r="NZ2" s="45"/>
      <c r="OA2" s="45"/>
      <c r="OB2" s="45"/>
      <c r="OC2" s="45"/>
      <c r="OD2" s="45"/>
      <c r="OE2" s="45"/>
      <c r="OF2" s="45"/>
      <c r="OG2" s="45"/>
      <c r="OH2" s="45"/>
      <c r="OI2" s="45"/>
      <c r="OJ2" s="45"/>
      <c r="OK2" s="45"/>
      <c r="OL2" s="45"/>
      <c r="OM2" s="45"/>
      <c r="ON2" s="45"/>
      <c r="OO2" s="45"/>
      <c r="OP2" s="45"/>
      <c r="OQ2" s="45"/>
      <c r="OR2" s="45"/>
      <c r="OS2" s="45"/>
      <c r="OT2" s="45"/>
      <c r="OU2" s="45"/>
      <c r="OV2" s="45"/>
      <c r="OW2" s="45"/>
      <c r="OX2" s="45"/>
      <c r="OY2" s="45"/>
      <c r="OZ2" s="45"/>
      <c r="PA2" s="45"/>
      <c r="PB2" s="45"/>
      <c r="PC2" s="45"/>
      <c r="PD2" s="45"/>
      <c r="PE2" s="45"/>
      <c r="PF2" s="45"/>
      <c r="PG2" s="45"/>
      <c r="PH2" s="45"/>
      <c r="PI2" s="45"/>
      <c r="PJ2" s="45"/>
      <c r="PK2" s="45"/>
      <c r="PL2" s="45"/>
      <c r="PM2" s="45"/>
      <c r="PN2" s="45"/>
      <c r="PO2" s="45"/>
      <c r="PP2" s="45"/>
      <c r="PQ2" s="45"/>
      <c r="PR2" s="45"/>
      <c r="PS2" s="45"/>
      <c r="PT2" s="45"/>
      <c r="PU2" s="45"/>
      <c r="PV2" s="45"/>
      <c r="PW2" s="45"/>
      <c r="PX2" s="45"/>
      <c r="PY2" s="45"/>
      <c r="PZ2" s="45"/>
      <c r="QA2" s="45"/>
      <c r="QB2" s="45"/>
      <c r="QC2" s="45"/>
      <c r="QD2" s="45"/>
      <c r="QE2" s="45"/>
      <c r="QF2" s="45"/>
      <c r="QG2" s="45"/>
      <c r="QH2" s="45"/>
      <c r="QI2" s="45"/>
      <c r="QJ2" s="45"/>
      <c r="QK2" s="45"/>
      <c r="QL2" s="45"/>
      <c r="QM2" s="45"/>
      <c r="QN2" s="45"/>
      <c r="QO2" s="45"/>
      <c r="QP2" s="45"/>
      <c r="QQ2" s="45"/>
      <c r="QR2" s="45"/>
      <c r="QS2" s="45"/>
      <c r="QT2" s="45"/>
      <c r="QU2" s="45"/>
      <c r="QV2" s="45"/>
      <c r="QW2" s="45"/>
      <c r="QX2" s="45"/>
      <c r="QY2" s="45"/>
      <c r="QZ2" s="45"/>
      <c r="RA2" s="45"/>
      <c r="RB2" s="45"/>
      <c r="RC2" s="45"/>
      <c r="RD2" s="45"/>
      <c r="RE2" s="45"/>
      <c r="RF2" s="45"/>
      <c r="RG2" s="45"/>
      <c r="RH2" s="45"/>
      <c r="RI2" s="45"/>
      <c r="RJ2" s="45"/>
      <c r="RK2" s="45"/>
      <c r="RL2" s="45"/>
      <c r="RM2" s="45"/>
      <c r="RN2" s="45"/>
      <c r="RO2" s="45"/>
      <c r="RP2" s="45"/>
      <c r="RQ2" s="45"/>
      <c r="RR2" s="45"/>
      <c r="RS2" s="45"/>
      <c r="RT2" s="45"/>
      <c r="RU2" s="45"/>
      <c r="RV2" s="45"/>
      <c r="RW2" s="45"/>
      <c r="RX2" s="45"/>
      <c r="RY2" s="45"/>
      <c r="RZ2" s="45"/>
      <c r="SA2" s="45"/>
      <c r="SB2" s="45"/>
      <c r="SC2" s="45"/>
      <c r="SD2" s="45"/>
    </row>
    <row r="3" spans="1:498" x14ac:dyDescent="0.25">
      <c r="A3" s="4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46"/>
      <c r="EA3" s="46"/>
      <c r="EB3" s="46"/>
      <c r="EC3" s="46"/>
      <c r="ED3" s="46"/>
      <c r="EE3" s="46"/>
      <c r="EF3" s="46"/>
      <c r="EG3" s="46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46"/>
      <c r="FK3" s="46"/>
      <c r="FL3" s="46"/>
      <c r="FM3" s="46"/>
      <c r="FN3" s="46"/>
      <c r="FO3" s="46"/>
      <c r="FP3" s="46"/>
      <c r="FQ3" s="46"/>
      <c r="FR3" s="46"/>
      <c r="FS3" s="46"/>
      <c r="FT3" s="46"/>
      <c r="FU3" s="46"/>
      <c r="FV3" s="46"/>
      <c r="FW3" s="46"/>
      <c r="FX3" s="46"/>
      <c r="FY3" s="46"/>
      <c r="FZ3" s="46"/>
      <c r="GA3" s="46"/>
      <c r="GB3" s="46"/>
      <c r="GC3" s="46"/>
      <c r="GD3" s="46"/>
      <c r="GE3" s="46"/>
      <c r="GF3" s="46"/>
      <c r="GG3" s="46"/>
      <c r="GH3" s="46"/>
      <c r="GI3" s="46"/>
      <c r="GJ3" s="46"/>
      <c r="GK3" s="46"/>
      <c r="GL3" s="46"/>
      <c r="GM3" s="46"/>
      <c r="GN3" s="46"/>
      <c r="GO3" s="46"/>
      <c r="GP3" s="46"/>
      <c r="GQ3" s="46"/>
      <c r="GR3" s="46"/>
      <c r="GS3" s="46"/>
      <c r="GT3" s="46"/>
      <c r="GU3" s="46"/>
      <c r="GV3" s="46"/>
      <c r="GW3" s="46"/>
      <c r="GX3" s="46"/>
      <c r="GY3" s="46"/>
      <c r="GZ3" s="46"/>
      <c r="HA3" s="46"/>
      <c r="HB3" s="46"/>
      <c r="HC3" s="46"/>
      <c r="HD3" s="46"/>
      <c r="HE3" s="46"/>
      <c r="HF3" s="46"/>
      <c r="HG3" s="46"/>
      <c r="HH3" s="46"/>
      <c r="HI3" s="46"/>
      <c r="HJ3" s="46"/>
      <c r="HK3" s="46"/>
      <c r="HL3" s="46"/>
      <c r="HM3" s="46"/>
      <c r="HN3" s="46"/>
      <c r="HO3" s="46"/>
      <c r="HP3" s="46"/>
      <c r="HQ3" s="46"/>
      <c r="HR3" s="46"/>
      <c r="HS3" s="46"/>
      <c r="HT3" s="46"/>
      <c r="HU3" s="46"/>
      <c r="HV3" s="46"/>
      <c r="HW3" s="46"/>
      <c r="HX3" s="46"/>
      <c r="HY3" s="46"/>
      <c r="HZ3" s="46"/>
      <c r="IA3" s="46"/>
      <c r="IB3" s="46"/>
      <c r="IC3" s="46"/>
      <c r="ID3" s="46"/>
      <c r="IE3" s="46"/>
      <c r="IF3" s="46"/>
      <c r="IG3" s="46"/>
      <c r="IH3" s="46"/>
      <c r="II3" s="46"/>
      <c r="IJ3" s="46"/>
      <c r="IK3" s="46"/>
      <c r="IL3" s="46"/>
      <c r="IM3" s="46"/>
      <c r="IN3" s="46"/>
      <c r="IO3" s="46"/>
      <c r="IP3" s="46"/>
      <c r="IQ3" s="46"/>
      <c r="IR3" s="46"/>
      <c r="IS3" s="46"/>
      <c r="IT3" s="46"/>
      <c r="IU3" s="46"/>
      <c r="IV3" s="46"/>
      <c r="IW3" s="46"/>
      <c r="IX3" s="46"/>
      <c r="IY3" s="46"/>
      <c r="IZ3" s="46"/>
      <c r="JA3" s="46"/>
      <c r="JB3" s="46"/>
      <c r="JC3" s="46"/>
      <c r="JD3" s="46"/>
      <c r="JE3" s="46"/>
      <c r="JF3" s="46"/>
      <c r="JG3" s="46"/>
      <c r="JH3" s="46"/>
      <c r="JI3" s="46"/>
      <c r="JJ3" s="46"/>
      <c r="JK3" s="46"/>
      <c r="JL3" s="46"/>
      <c r="JM3" s="46"/>
      <c r="JN3" s="46"/>
      <c r="JO3" s="46"/>
      <c r="JP3" s="46"/>
      <c r="JQ3" s="46"/>
      <c r="JR3" s="46"/>
      <c r="JS3" s="46"/>
      <c r="JT3" s="46"/>
      <c r="JU3" s="46"/>
      <c r="JV3" s="46"/>
      <c r="JW3" s="46"/>
      <c r="JX3" s="46"/>
      <c r="JY3" s="46"/>
      <c r="JZ3" s="46"/>
      <c r="KA3" s="46"/>
      <c r="KB3" s="46"/>
      <c r="KC3" s="46"/>
      <c r="KD3" s="46"/>
      <c r="KE3" s="46"/>
      <c r="KF3" s="46"/>
      <c r="KG3" s="46"/>
      <c r="KH3" s="46"/>
      <c r="KI3" s="46"/>
      <c r="KJ3" s="46"/>
      <c r="KK3" s="46"/>
      <c r="KL3" s="46"/>
      <c r="KM3" s="46"/>
      <c r="KN3" s="46"/>
      <c r="KO3" s="46"/>
      <c r="KP3" s="46"/>
      <c r="KQ3" s="46"/>
      <c r="KR3" s="46"/>
      <c r="KS3" s="46"/>
      <c r="KT3" s="46"/>
      <c r="KU3" s="46"/>
      <c r="KV3" s="46"/>
      <c r="KW3" s="46"/>
      <c r="KX3" s="46"/>
      <c r="KY3" s="46"/>
      <c r="KZ3" s="46"/>
      <c r="LA3" s="46"/>
      <c r="LB3" s="46"/>
      <c r="LC3" s="46"/>
      <c r="LD3" s="46"/>
      <c r="LE3" s="46"/>
      <c r="LF3" s="46"/>
      <c r="LG3" s="46"/>
      <c r="LH3" s="46"/>
      <c r="LI3" s="46"/>
      <c r="LJ3" s="46"/>
      <c r="LK3" s="46"/>
      <c r="LL3" s="46"/>
      <c r="LM3" s="46"/>
      <c r="LN3" s="46"/>
      <c r="LO3" s="46"/>
      <c r="LP3" s="46"/>
      <c r="LQ3" s="46"/>
      <c r="LR3" s="46"/>
      <c r="LS3" s="46"/>
      <c r="LT3" s="46"/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  <c r="RT3" s="46"/>
      <c r="RU3" s="46"/>
      <c r="RV3" s="46"/>
      <c r="RW3" s="46"/>
      <c r="RX3" s="46"/>
      <c r="RY3" s="46"/>
      <c r="RZ3" s="46"/>
      <c r="SA3" s="46"/>
      <c r="SB3" s="46"/>
      <c r="SC3" s="46"/>
      <c r="SD3" s="46"/>
    </row>
    <row r="4" spans="1:498" x14ac:dyDescent="0.25">
      <c r="A4" s="48"/>
      <c r="B4" s="19" t="s">
        <v>37</v>
      </c>
      <c r="C4" s="19" t="s">
        <v>42</v>
      </c>
      <c r="D4" s="19" t="s">
        <v>45</v>
      </c>
      <c r="E4" s="19" t="s">
        <v>49</v>
      </c>
      <c r="F4" s="19" t="s">
        <v>52</v>
      </c>
      <c r="G4" s="19" t="s">
        <v>56</v>
      </c>
      <c r="H4" s="19" t="s">
        <v>59</v>
      </c>
      <c r="I4" s="19" t="s">
        <v>62</v>
      </c>
      <c r="J4" s="19" t="s">
        <v>66</v>
      </c>
      <c r="K4" s="19" t="s">
        <v>70</v>
      </c>
      <c r="L4" s="19" t="s">
        <v>73</v>
      </c>
      <c r="M4" s="19" t="s">
        <v>77</v>
      </c>
      <c r="N4" s="19" t="s">
        <v>81</v>
      </c>
      <c r="O4" s="19" t="s">
        <v>84</v>
      </c>
      <c r="P4" s="19" t="s">
        <v>87</v>
      </c>
      <c r="Q4" s="19" t="s">
        <v>91</v>
      </c>
      <c r="R4" s="19" t="s">
        <v>94</v>
      </c>
      <c r="S4" s="19" t="s">
        <v>97</v>
      </c>
      <c r="T4" s="19" t="s">
        <v>99</v>
      </c>
      <c r="U4" s="19" t="s">
        <v>102</v>
      </c>
      <c r="V4" s="19" t="s">
        <v>106</v>
      </c>
      <c r="W4" s="19" t="s">
        <v>107</v>
      </c>
      <c r="X4" s="19" t="s">
        <v>24</v>
      </c>
      <c r="Y4" s="19" t="s">
        <v>112</v>
      </c>
      <c r="Z4" s="19" t="s">
        <v>115</v>
      </c>
      <c r="AA4" s="19" t="s">
        <v>118</v>
      </c>
      <c r="AB4" s="19" t="s">
        <v>120</v>
      </c>
      <c r="AC4" s="19" t="s">
        <v>123</v>
      </c>
      <c r="AD4" s="19" t="s">
        <v>126</v>
      </c>
      <c r="AE4" s="19" t="s">
        <v>129</v>
      </c>
      <c r="AF4" s="19" t="s">
        <v>132</v>
      </c>
      <c r="AG4" s="19" t="s">
        <v>135</v>
      </c>
      <c r="AH4" s="19" t="s">
        <v>138</v>
      </c>
      <c r="AI4" s="19" t="s">
        <v>141</v>
      </c>
      <c r="AJ4" s="19" t="s">
        <v>143</v>
      </c>
      <c r="AK4" s="19" t="s">
        <v>146</v>
      </c>
      <c r="AL4" s="19" t="s">
        <v>148</v>
      </c>
      <c r="AM4" s="19" t="s">
        <v>150</v>
      </c>
      <c r="AN4" s="19" t="s">
        <v>153</v>
      </c>
      <c r="AO4" s="19" t="s">
        <v>1</v>
      </c>
      <c r="AP4" s="19" t="s">
        <v>159</v>
      </c>
      <c r="AQ4" s="19" t="s">
        <v>162</v>
      </c>
      <c r="AR4" s="19" t="s">
        <v>165</v>
      </c>
      <c r="AS4" s="19" t="s">
        <v>167</v>
      </c>
      <c r="AT4" s="19" t="s">
        <v>170</v>
      </c>
      <c r="AU4" s="19" t="s">
        <v>173</v>
      </c>
      <c r="AV4" s="19" t="s">
        <v>175</v>
      </c>
      <c r="AW4" s="19" t="s">
        <v>176</v>
      </c>
      <c r="AX4" s="19" t="s">
        <v>179</v>
      </c>
      <c r="AY4" s="19" t="s">
        <v>182</v>
      </c>
      <c r="AZ4" s="19" t="s">
        <v>184</v>
      </c>
      <c r="BA4" s="19" t="s">
        <v>187</v>
      </c>
      <c r="BB4" s="19" t="s">
        <v>190</v>
      </c>
      <c r="BC4" s="19" t="s">
        <v>193</v>
      </c>
      <c r="BD4" s="19" t="s">
        <v>195</v>
      </c>
      <c r="BE4" s="19" t="s">
        <v>198</v>
      </c>
      <c r="BF4" s="19" t="s">
        <v>201</v>
      </c>
      <c r="BG4" s="19" t="s">
        <v>204</v>
      </c>
      <c r="BH4" s="19" t="s">
        <v>207</v>
      </c>
      <c r="BI4" s="19" t="s">
        <v>209</v>
      </c>
      <c r="BJ4" s="19" t="s">
        <v>212</v>
      </c>
      <c r="BK4" s="19" t="s">
        <v>214</v>
      </c>
      <c r="BL4" s="19" t="s">
        <v>216</v>
      </c>
      <c r="BM4" s="19" t="s">
        <v>219</v>
      </c>
      <c r="BN4" s="19" t="s">
        <v>222</v>
      </c>
      <c r="BO4" s="19" t="s">
        <v>224</v>
      </c>
      <c r="BP4" s="19" t="s">
        <v>226</v>
      </c>
      <c r="BQ4" s="19" t="s">
        <v>228</v>
      </c>
      <c r="BR4" s="19" t="s">
        <v>230</v>
      </c>
      <c r="BS4" s="19" t="s">
        <v>34</v>
      </c>
      <c r="BT4" s="19" t="s">
        <v>232</v>
      </c>
      <c r="BU4" s="19" t="s">
        <v>234</v>
      </c>
      <c r="BV4" s="19" t="s">
        <v>236</v>
      </c>
      <c r="BW4" s="19" t="s">
        <v>238</v>
      </c>
      <c r="BX4" s="19" t="s">
        <v>240</v>
      </c>
      <c r="BY4" s="19" t="s">
        <v>243</v>
      </c>
      <c r="BZ4" s="19" t="s">
        <v>246</v>
      </c>
      <c r="CA4" s="19" t="s">
        <v>248</v>
      </c>
      <c r="CB4" s="19" t="s">
        <v>250</v>
      </c>
      <c r="CC4" s="19" t="s">
        <v>253</v>
      </c>
      <c r="CD4" s="19" t="s">
        <v>255</v>
      </c>
      <c r="CE4" s="19" t="s">
        <v>257</v>
      </c>
      <c r="CF4" s="19" t="s">
        <v>259</v>
      </c>
      <c r="CG4" s="19" t="s">
        <v>262</v>
      </c>
      <c r="CH4" s="19" t="s">
        <v>264</v>
      </c>
      <c r="CI4" s="19" t="s">
        <v>267</v>
      </c>
      <c r="CJ4" s="19" t="s">
        <v>269</v>
      </c>
      <c r="CK4" s="19" t="s">
        <v>272</v>
      </c>
      <c r="CL4" s="19" t="s">
        <v>274</v>
      </c>
      <c r="CM4" s="19" t="s">
        <v>276</v>
      </c>
      <c r="CN4" s="19" t="s">
        <v>278</v>
      </c>
      <c r="CO4" s="19" t="s">
        <v>280</v>
      </c>
      <c r="CP4" s="19" t="s">
        <v>283</v>
      </c>
      <c r="CQ4" s="19" t="s">
        <v>286</v>
      </c>
      <c r="CR4" s="19" t="s">
        <v>289</v>
      </c>
      <c r="CS4" s="19" t="s">
        <v>291</v>
      </c>
      <c r="CT4" s="19" t="s">
        <v>293</v>
      </c>
      <c r="CU4" s="19" t="s">
        <v>295</v>
      </c>
      <c r="CV4" s="19" t="s">
        <v>298</v>
      </c>
      <c r="CW4" s="19" t="s">
        <v>300</v>
      </c>
      <c r="CX4" s="19" t="s">
        <v>303</v>
      </c>
      <c r="CY4" s="19" t="s">
        <v>306</v>
      </c>
      <c r="CZ4" s="19" t="s">
        <v>308</v>
      </c>
      <c r="DA4" s="19" t="s">
        <v>311</v>
      </c>
      <c r="DB4" s="19" t="s">
        <v>314</v>
      </c>
      <c r="DC4" s="19" t="s">
        <v>317</v>
      </c>
      <c r="DD4" s="19" t="s">
        <v>320</v>
      </c>
      <c r="DE4" s="19" t="s">
        <v>322</v>
      </c>
      <c r="DF4" s="19" t="s">
        <v>325</v>
      </c>
      <c r="DG4" s="19" t="s">
        <v>328</v>
      </c>
      <c r="DH4" s="19" t="s">
        <v>330</v>
      </c>
      <c r="DI4" s="19" t="s">
        <v>333</v>
      </c>
      <c r="DJ4" s="19" t="s">
        <v>335</v>
      </c>
      <c r="DK4" s="19" t="s">
        <v>337</v>
      </c>
      <c r="DL4" s="19" t="s">
        <v>340</v>
      </c>
      <c r="DM4" s="19" t="s">
        <v>342</v>
      </c>
      <c r="DN4" s="19" t="s">
        <v>344</v>
      </c>
      <c r="DO4" s="19" t="s">
        <v>346</v>
      </c>
      <c r="DP4" s="19" t="s">
        <v>349</v>
      </c>
      <c r="DQ4" s="19" t="s">
        <v>351</v>
      </c>
      <c r="DR4" s="19" t="s">
        <v>3</v>
      </c>
      <c r="DS4" s="19" t="s">
        <v>353</v>
      </c>
      <c r="DT4" s="19" t="s">
        <v>355</v>
      </c>
      <c r="DU4" s="19" t="s">
        <v>357</v>
      </c>
      <c r="DV4" s="19" t="s">
        <v>359</v>
      </c>
      <c r="DW4" s="19" t="s">
        <v>361</v>
      </c>
      <c r="DX4" s="19" t="s">
        <v>363</v>
      </c>
      <c r="DY4" s="19" t="s">
        <v>365</v>
      </c>
      <c r="DZ4" s="19" t="s">
        <v>367</v>
      </c>
      <c r="EA4" s="19" t="s">
        <v>369</v>
      </c>
      <c r="EB4" s="19" t="s">
        <v>371</v>
      </c>
      <c r="EC4" s="19" t="s">
        <v>373</v>
      </c>
      <c r="ED4" s="19" t="s">
        <v>375</v>
      </c>
      <c r="EE4" s="19" t="s">
        <v>378</v>
      </c>
      <c r="EF4" s="19" t="s">
        <v>380</v>
      </c>
      <c r="EG4" s="19" t="s">
        <v>382</v>
      </c>
      <c r="EH4" s="19" t="s">
        <v>384</v>
      </c>
      <c r="EI4" s="19" t="s">
        <v>386</v>
      </c>
      <c r="EJ4" s="19" t="s">
        <v>388</v>
      </c>
      <c r="EK4" s="19" t="s">
        <v>390</v>
      </c>
      <c r="EL4" s="19" t="s">
        <v>392</v>
      </c>
      <c r="EM4" s="19" t="s">
        <v>394</v>
      </c>
      <c r="EN4" s="19" t="s">
        <v>396</v>
      </c>
      <c r="EO4" s="19" t="s">
        <v>399</v>
      </c>
      <c r="EP4" s="19" t="s">
        <v>402</v>
      </c>
      <c r="EQ4" s="19" t="s">
        <v>404</v>
      </c>
      <c r="ER4" s="19" t="s">
        <v>406</v>
      </c>
      <c r="ES4" s="19" t="s">
        <v>408</v>
      </c>
      <c r="ET4" s="19" t="s">
        <v>410</v>
      </c>
      <c r="EU4" s="19" t="s">
        <v>412</v>
      </c>
      <c r="EV4" s="19" t="s">
        <v>415</v>
      </c>
      <c r="EW4" s="19" t="s">
        <v>417</v>
      </c>
      <c r="EX4" s="19" t="s">
        <v>419</v>
      </c>
      <c r="EY4" s="19" t="s">
        <v>421</v>
      </c>
      <c r="EZ4" s="19" t="s">
        <v>423</v>
      </c>
      <c r="FA4" s="19" t="s">
        <v>425</v>
      </c>
      <c r="FB4" s="19" t="s">
        <v>428</v>
      </c>
      <c r="FC4" s="19" t="s">
        <v>431</v>
      </c>
      <c r="FD4" s="19" t="s">
        <v>434</v>
      </c>
      <c r="FE4" s="19" t="s">
        <v>436</v>
      </c>
      <c r="FF4" s="19" t="s">
        <v>438</v>
      </c>
      <c r="FG4" s="19" t="s">
        <v>440</v>
      </c>
      <c r="FH4" s="19" t="s">
        <v>442</v>
      </c>
      <c r="FI4" s="19" t="s">
        <v>444</v>
      </c>
      <c r="FJ4" s="19" t="s">
        <v>446</v>
      </c>
      <c r="FK4" s="19" t="s">
        <v>448</v>
      </c>
      <c r="FL4" s="19" t="s">
        <v>450</v>
      </c>
      <c r="FM4" s="19" t="s">
        <v>452</v>
      </c>
      <c r="FN4" s="19" t="s">
        <v>455</v>
      </c>
      <c r="FO4" s="19" t="s">
        <v>457</v>
      </c>
      <c r="FP4" s="19" t="s">
        <v>459</v>
      </c>
      <c r="FQ4" s="19" t="s">
        <v>461</v>
      </c>
      <c r="FR4" s="19" t="s">
        <v>463</v>
      </c>
      <c r="FS4" s="19" t="s">
        <v>465</v>
      </c>
      <c r="FT4" s="19" t="s">
        <v>467</v>
      </c>
      <c r="FU4" s="19" t="s">
        <v>469</v>
      </c>
      <c r="FV4" s="19" t="s">
        <v>470</v>
      </c>
      <c r="FW4" s="19" t="s">
        <v>473</v>
      </c>
      <c r="FX4" s="19" t="s">
        <v>475</v>
      </c>
      <c r="FY4" s="19" t="s">
        <v>477</v>
      </c>
      <c r="FZ4" s="19" t="s">
        <v>479</v>
      </c>
      <c r="GA4" s="19" t="s">
        <v>482</v>
      </c>
      <c r="GB4" s="19" t="s">
        <v>484</v>
      </c>
      <c r="GC4" s="19" t="s">
        <v>487</v>
      </c>
      <c r="GD4" s="19" t="s">
        <v>489</v>
      </c>
      <c r="GE4" s="19" t="s">
        <v>491</v>
      </c>
      <c r="GF4" s="19" t="s">
        <v>493</v>
      </c>
      <c r="GG4" s="19" t="s">
        <v>495</v>
      </c>
      <c r="GH4" s="19" t="s">
        <v>497</v>
      </c>
      <c r="GI4" s="19" t="s">
        <v>30</v>
      </c>
      <c r="GJ4" s="19" t="s">
        <v>500</v>
      </c>
      <c r="GK4" s="19" t="s">
        <v>502</v>
      </c>
      <c r="GL4" s="19" t="s">
        <v>504</v>
      </c>
      <c r="GM4" s="19" t="s">
        <v>506</v>
      </c>
      <c r="GN4" s="19" t="s">
        <v>509</v>
      </c>
      <c r="GO4" s="19" t="s">
        <v>512</v>
      </c>
      <c r="GP4" s="19" t="s">
        <v>514</v>
      </c>
      <c r="GQ4" s="19" t="s">
        <v>517</v>
      </c>
      <c r="GR4" s="19" t="s">
        <v>519</v>
      </c>
      <c r="GS4" s="19" t="s">
        <v>521</v>
      </c>
      <c r="GT4" s="19" t="s">
        <v>523</v>
      </c>
      <c r="GU4" s="19" t="s">
        <v>525</v>
      </c>
      <c r="GV4" s="19" t="s">
        <v>527</v>
      </c>
      <c r="GW4" s="19" t="s">
        <v>529</v>
      </c>
      <c r="GX4" s="19" t="s">
        <v>532</v>
      </c>
      <c r="GY4" s="19" t="s">
        <v>535</v>
      </c>
      <c r="GZ4" s="19" t="s">
        <v>537</v>
      </c>
      <c r="HA4" s="19" t="s">
        <v>540</v>
      </c>
      <c r="HB4" s="19" t="s">
        <v>541</v>
      </c>
      <c r="HC4" s="19" t="s">
        <v>543</v>
      </c>
      <c r="HD4" s="19" t="s">
        <v>546</v>
      </c>
      <c r="HE4" s="19" t="s">
        <v>549</v>
      </c>
      <c r="HF4" s="19" t="s">
        <v>551</v>
      </c>
      <c r="HG4" s="19" t="s">
        <v>553</v>
      </c>
      <c r="HH4" s="19" t="s">
        <v>555</v>
      </c>
      <c r="HI4" s="19" t="s">
        <v>557</v>
      </c>
      <c r="HJ4" s="19" t="s">
        <v>559</v>
      </c>
      <c r="HK4" s="19" t="s">
        <v>560</v>
      </c>
      <c r="HL4" s="19" t="s">
        <v>562</v>
      </c>
      <c r="HM4" s="19" t="s">
        <v>564</v>
      </c>
      <c r="HN4" s="19" t="s">
        <v>567</v>
      </c>
      <c r="HO4" s="19" t="s">
        <v>569</v>
      </c>
      <c r="HP4" s="19" t="s">
        <v>571</v>
      </c>
      <c r="HQ4" s="19" t="s">
        <v>573</v>
      </c>
      <c r="HR4" s="19" t="s">
        <v>574</v>
      </c>
      <c r="HS4" s="19" t="s">
        <v>576</v>
      </c>
      <c r="HT4" s="19" t="s">
        <v>578</v>
      </c>
      <c r="HU4" s="19" t="s">
        <v>581</v>
      </c>
      <c r="HV4" s="19" t="s">
        <v>584</v>
      </c>
      <c r="HW4" s="19" t="s">
        <v>587</v>
      </c>
      <c r="HX4" s="19" t="s">
        <v>589</v>
      </c>
      <c r="HY4" s="19" t="s">
        <v>591</v>
      </c>
      <c r="HZ4" s="19" t="s">
        <v>593</v>
      </c>
      <c r="IA4" s="19" t="s">
        <v>595</v>
      </c>
      <c r="IB4" s="19" t="s">
        <v>597</v>
      </c>
      <c r="IC4" s="19" t="s">
        <v>599</v>
      </c>
      <c r="ID4" s="19" t="s">
        <v>602</v>
      </c>
      <c r="IE4" s="19" t="s">
        <v>604</v>
      </c>
      <c r="IF4" s="19" t="s">
        <v>606</v>
      </c>
      <c r="IG4" s="19" t="s">
        <v>609</v>
      </c>
      <c r="IH4" s="19" t="s">
        <v>6</v>
      </c>
      <c r="II4" s="19" t="s">
        <v>612</v>
      </c>
      <c r="IJ4" s="19" t="s">
        <v>614</v>
      </c>
      <c r="IK4" s="19" t="s">
        <v>616</v>
      </c>
      <c r="IL4" s="19" t="s">
        <v>618</v>
      </c>
      <c r="IM4" s="19" t="s">
        <v>620</v>
      </c>
      <c r="IN4" s="19" t="s">
        <v>621</v>
      </c>
      <c r="IO4" s="19" t="s">
        <v>623</v>
      </c>
      <c r="IP4" s="19" t="s">
        <v>625</v>
      </c>
      <c r="IQ4" s="19" t="s">
        <v>627</v>
      </c>
      <c r="IR4" s="19" t="s">
        <v>630</v>
      </c>
      <c r="IS4" s="19" t="s">
        <v>632</v>
      </c>
      <c r="IT4" s="19" t="s">
        <v>633</v>
      </c>
      <c r="IU4" s="19" t="s">
        <v>635</v>
      </c>
      <c r="IV4" s="19" t="s">
        <v>637</v>
      </c>
      <c r="IW4" s="19" t="s">
        <v>639</v>
      </c>
      <c r="IX4" s="19" t="s">
        <v>641</v>
      </c>
      <c r="IY4" s="19" t="s">
        <v>643</v>
      </c>
      <c r="IZ4" s="19" t="s">
        <v>646</v>
      </c>
      <c r="JA4" s="19" t="s">
        <v>648</v>
      </c>
      <c r="JB4" s="19" t="s">
        <v>650</v>
      </c>
      <c r="JC4" s="19" t="s">
        <v>652</v>
      </c>
      <c r="JD4" s="19" t="s">
        <v>655</v>
      </c>
      <c r="JE4" s="19" t="s">
        <v>657</v>
      </c>
      <c r="JF4" s="19" t="s">
        <v>660</v>
      </c>
      <c r="JG4" s="19" t="s">
        <v>663</v>
      </c>
      <c r="JH4" s="19" t="s">
        <v>666</v>
      </c>
      <c r="JI4" s="19" t="s">
        <v>668</v>
      </c>
      <c r="JJ4" s="19" t="s">
        <v>5</v>
      </c>
      <c r="JK4" s="19" t="s">
        <v>672</v>
      </c>
      <c r="JL4" s="19" t="s">
        <v>674</v>
      </c>
      <c r="JM4" s="19" t="s">
        <v>676</v>
      </c>
      <c r="JN4" s="19" t="s">
        <v>678</v>
      </c>
      <c r="JO4" s="19" t="s">
        <v>682</v>
      </c>
      <c r="JP4" s="19" t="s">
        <v>684</v>
      </c>
      <c r="JQ4" s="19" t="s">
        <v>686</v>
      </c>
      <c r="JR4" s="19" t="s">
        <v>689</v>
      </c>
      <c r="JS4" s="19" t="s">
        <v>691</v>
      </c>
      <c r="JT4" s="19" t="s">
        <v>693</v>
      </c>
      <c r="JU4" s="19" t="s">
        <v>696</v>
      </c>
      <c r="JV4" s="19" t="s">
        <v>698</v>
      </c>
      <c r="JW4" s="19" t="s">
        <v>700</v>
      </c>
      <c r="JX4" s="19" t="s">
        <v>703</v>
      </c>
      <c r="JY4" s="19" t="s">
        <v>705</v>
      </c>
      <c r="JZ4" s="19" t="s">
        <v>707</v>
      </c>
      <c r="KA4" s="19" t="s">
        <v>709</v>
      </c>
      <c r="KB4" s="19" t="s">
        <v>711</v>
      </c>
      <c r="KC4" s="19" t="s">
        <v>713</v>
      </c>
      <c r="KD4" s="19" t="s">
        <v>715</v>
      </c>
      <c r="KE4" s="19" t="s">
        <v>717</v>
      </c>
      <c r="KF4" s="19" t="s">
        <v>719</v>
      </c>
      <c r="KG4" s="19" t="s">
        <v>724</v>
      </c>
      <c r="KH4" s="19" t="s">
        <v>726</v>
      </c>
      <c r="KI4" s="19" t="s">
        <v>728</v>
      </c>
      <c r="KJ4" s="19" t="s">
        <v>730</v>
      </c>
      <c r="KK4" s="19" t="s">
        <v>733</v>
      </c>
      <c r="KL4" s="19" t="s">
        <v>735</v>
      </c>
      <c r="KM4" s="19" t="s">
        <v>737</v>
      </c>
      <c r="KN4" s="19" t="s">
        <v>739</v>
      </c>
      <c r="KO4" s="19" t="s">
        <v>742</v>
      </c>
      <c r="KP4" s="19" t="s">
        <v>744</v>
      </c>
      <c r="KQ4" s="19" t="s">
        <v>746</v>
      </c>
      <c r="KR4" s="19" t="s">
        <v>748</v>
      </c>
      <c r="KS4" s="19" t="s">
        <v>751</v>
      </c>
      <c r="KT4" s="19" t="s">
        <v>753</v>
      </c>
      <c r="KU4" s="19" t="s">
        <v>755</v>
      </c>
      <c r="KV4" s="19" t="s">
        <v>757</v>
      </c>
      <c r="KW4" s="19" t="s">
        <v>759</v>
      </c>
      <c r="KX4" s="19" t="s">
        <v>761</v>
      </c>
      <c r="KY4" s="19" t="s">
        <v>763</v>
      </c>
      <c r="KZ4" s="19" t="s">
        <v>4</v>
      </c>
      <c r="LA4" s="19" t="s">
        <v>25</v>
      </c>
      <c r="LB4" s="19" t="s">
        <v>767</v>
      </c>
      <c r="LC4" s="19" t="s">
        <v>769</v>
      </c>
      <c r="LD4" s="19" t="s">
        <v>771</v>
      </c>
      <c r="LE4" s="19" t="s">
        <v>773</v>
      </c>
      <c r="LF4" s="19" t="s">
        <v>775</v>
      </c>
      <c r="LG4" s="19" t="s">
        <v>777</v>
      </c>
      <c r="LH4" s="19" t="s">
        <v>779</v>
      </c>
      <c r="LI4" s="19" t="s">
        <v>781</v>
      </c>
      <c r="LJ4" s="19" t="s">
        <v>783</v>
      </c>
      <c r="LK4" s="19" t="s">
        <v>786</v>
      </c>
      <c r="LL4" s="19" t="s">
        <v>788</v>
      </c>
      <c r="LM4" s="19" t="s">
        <v>791</v>
      </c>
      <c r="LN4" s="19" t="s">
        <v>793</v>
      </c>
      <c r="LO4" s="19" t="s">
        <v>795</v>
      </c>
      <c r="LP4" s="19" t="s">
        <v>797</v>
      </c>
      <c r="LQ4" s="19" t="s">
        <v>799</v>
      </c>
      <c r="LR4" s="19" t="s">
        <v>801</v>
      </c>
      <c r="LS4" s="19" t="s">
        <v>803</v>
      </c>
      <c r="LT4" s="19" t="s">
        <v>805</v>
      </c>
      <c r="LU4" s="19" t="s">
        <v>806</v>
      </c>
      <c r="LV4" s="19" t="s">
        <v>808</v>
      </c>
      <c r="LW4" s="19" t="s">
        <v>810</v>
      </c>
      <c r="LX4" s="19" t="s">
        <v>812</v>
      </c>
      <c r="LY4" s="19" t="s">
        <v>815</v>
      </c>
      <c r="LZ4" s="19" t="s">
        <v>818</v>
      </c>
      <c r="MA4" s="19" t="s">
        <v>819</v>
      </c>
      <c r="MB4" s="19" t="s">
        <v>821</v>
      </c>
      <c r="MC4" s="19" t="s">
        <v>823</v>
      </c>
      <c r="MD4" s="19" t="s">
        <v>825</v>
      </c>
      <c r="ME4" s="19" t="s">
        <v>827</v>
      </c>
      <c r="MF4" s="19" t="s">
        <v>829</v>
      </c>
      <c r="MG4" s="19" t="s">
        <v>831</v>
      </c>
      <c r="MH4" s="19" t="s">
        <v>833</v>
      </c>
      <c r="MI4" s="19" t="s">
        <v>835</v>
      </c>
      <c r="MJ4" s="19" t="s">
        <v>837</v>
      </c>
      <c r="MK4" s="19" t="s">
        <v>840</v>
      </c>
      <c r="ML4" s="19" t="s">
        <v>842</v>
      </c>
      <c r="MM4" s="19" t="s">
        <v>844</v>
      </c>
      <c r="MN4" s="19" t="s">
        <v>846</v>
      </c>
      <c r="MO4" s="19" t="s">
        <v>848</v>
      </c>
      <c r="MP4" s="19" t="s">
        <v>850</v>
      </c>
      <c r="MQ4" s="19" t="s">
        <v>852</v>
      </c>
      <c r="MR4" s="19" t="s">
        <v>854</v>
      </c>
      <c r="MS4" s="19" t="s">
        <v>856</v>
      </c>
      <c r="MT4" s="19" t="s">
        <v>858</v>
      </c>
      <c r="MU4" s="19" t="s">
        <v>860</v>
      </c>
      <c r="MV4" s="19" t="s">
        <v>862</v>
      </c>
      <c r="MW4" s="19" t="s">
        <v>864</v>
      </c>
      <c r="MX4" s="19" t="s">
        <v>866</v>
      </c>
      <c r="MY4" s="19" t="s">
        <v>868</v>
      </c>
      <c r="MZ4" s="19" t="s">
        <v>870</v>
      </c>
      <c r="NA4" s="19" t="s">
        <v>872</v>
      </c>
      <c r="NB4" s="19" t="s">
        <v>874</v>
      </c>
      <c r="NC4" s="19" t="s">
        <v>876</v>
      </c>
      <c r="ND4" s="19" t="s">
        <v>878</v>
      </c>
      <c r="NE4" s="19" t="s">
        <v>26</v>
      </c>
      <c r="NF4" s="19" t="s">
        <v>28</v>
      </c>
      <c r="NG4" s="19" t="s">
        <v>881</v>
      </c>
      <c r="NH4" s="19" t="s">
        <v>883</v>
      </c>
      <c r="NI4" s="19" t="s">
        <v>885</v>
      </c>
      <c r="NJ4" s="19" t="s">
        <v>887</v>
      </c>
      <c r="NK4" s="19" t="s">
        <v>889</v>
      </c>
      <c r="NL4" s="19" t="s">
        <v>891</v>
      </c>
      <c r="NM4" s="19" t="s">
        <v>893</v>
      </c>
      <c r="NN4" s="19" t="s">
        <v>895</v>
      </c>
      <c r="NO4" s="19" t="s">
        <v>897</v>
      </c>
      <c r="NP4" s="19" t="s">
        <v>899</v>
      </c>
      <c r="NQ4" s="19" t="s">
        <v>901</v>
      </c>
      <c r="NR4" s="19" t="s">
        <v>903</v>
      </c>
      <c r="NS4" s="19" t="s">
        <v>906</v>
      </c>
      <c r="NT4" s="19" t="s">
        <v>908</v>
      </c>
      <c r="NU4" s="19" t="s">
        <v>910</v>
      </c>
      <c r="NV4" s="19" t="s">
        <v>911</v>
      </c>
      <c r="NW4" s="19" t="s">
        <v>913</v>
      </c>
      <c r="NX4" s="19" t="s">
        <v>915</v>
      </c>
      <c r="NY4" s="19" t="s">
        <v>917</v>
      </c>
      <c r="NZ4" s="19" t="s">
        <v>919</v>
      </c>
      <c r="OA4" s="19" t="s">
        <v>921</v>
      </c>
      <c r="OB4" s="19" t="s">
        <v>923</v>
      </c>
      <c r="OC4" s="19" t="s">
        <v>925</v>
      </c>
      <c r="OD4" s="19" t="s">
        <v>927</v>
      </c>
      <c r="OE4" s="19" t="s">
        <v>929</v>
      </c>
      <c r="OF4" s="19" t="s">
        <v>931</v>
      </c>
      <c r="OG4" s="19" t="s">
        <v>933</v>
      </c>
      <c r="OH4" s="19" t="s">
        <v>935</v>
      </c>
      <c r="OI4" s="19" t="s">
        <v>938</v>
      </c>
      <c r="OJ4" s="19" t="s">
        <v>940</v>
      </c>
      <c r="OK4" s="19" t="s">
        <v>942</v>
      </c>
      <c r="OL4" s="19" t="s">
        <v>944</v>
      </c>
      <c r="OM4" s="19" t="s">
        <v>946</v>
      </c>
      <c r="ON4" s="19" t="s">
        <v>948</v>
      </c>
      <c r="OO4" s="19" t="s">
        <v>950</v>
      </c>
      <c r="OP4" s="19" t="s">
        <v>953</v>
      </c>
      <c r="OQ4" s="19" t="s">
        <v>955</v>
      </c>
      <c r="OR4" s="19" t="s">
        <v>957</v>
      </c>
      <c r="OS4" s="19" t="s">
        <v>959</v>
      </c>
      <c r="OT4" s="19" t="s">
        <v>961</v>
      </c>
      <c r="OU4" s="19" t="s">
        <v>2</v>
      </c>
      <c r="OV4" s="19" t="s">
        <v>964</v>
      </c>
      <c r="OW4" s="19" t="s">
        <v>966</v>
      </c>
      <c r="OX4" s="19" t="s">
        <v>968</v>
      </c>
      <c r="OY4" s="19" t="s">
        <v>970</v>
      </c>
      <c r="OZ4" s="19" t="s">
        <v>972</v>
      </c>
      <c r="PA4" s="19" t="s">
        <v>974</v>
      </c>
      <c r="PB4" s="19" t="s">
        <v>976</v>
      </c>
      <c r="PC4" s="19" t="s">
        <v>978</v>
      </c>
      <c r="PD4" s="19" t="s">
        <v>980</v>
      </c>
      <c r="PE4" s="19" t="s">
        <v>982</v>
      </c>
      <c r="PF4" s="19" t="s">
        <v>32</v>
      </c>
      <c r="PG4" s="19" t="s">
        <v>984</v>
      </c>
      <c r="PH4" s="19" t="s">
        <v>986</v>
      </c>
      <c r="PI4" s="19" t="s">
        <v>988</v>
      </c>
      <c r="PJ4" s="19" t="s">
        <v>990</v>
      </c>
      <c r="PK4" s="19" t="s">
        <v>992</v>
      </c>
      <c r="PL4" s="19" t="s">
        <v>994</v>
      </c>
      <c r="PM4" s="19" t="s">
        <v>996</v>
      </c>
      <c r="PN4" s="19" t="s">
        <v>999</v>
      </c>
      <c r="PO4" s="19" t="s">
        <v>1002</v>
      </c>
      <c r="PP4" s="19" t="s">
        <v>1004</v>
      </c>
      <c r="PQ4" s="19" t="s">
        <v>1006</v>
      </c>
      <c r="PR4" s="19" t="s">
        <v>1008</v>
      </c>
      <c r="PS4" s="19" t="s">
        <v>1010</v>
      </c>
      <c r="PT4" s="19" t="s">
        <v>1012</v>
      </c>
      <c r="PU4" s="19" t="s">
        <v>1014</v>
      </c>
      <c r="PV4" s="19" t="s">
        <v>1016</v>
      </c>
      <c r="PW4" s="19" t="s">
        <v>1018</v>
      </c>
      <c r="PX4" s="19" t="s">
        <v>1020</v>
      </c>
      <c r="PY4" s="19" t="s">
        <v>1022</v>
      </c>
      <c r="PZ4" s="19" t="s">
        <v>1024</v>
      </c>
      <c r="QA4" s="19" t="s">
        <v>1026</v>
      </c>
      <c r="QB4" s="19" t="s">
        <v>1028</v>
      </c>
      <c r="QC4" s="19" t="s">
        <v>1030</v>
      </c>
      <c r="QD4" s="19" t="s">
        <v>1032</v>
      </c>
      <c r="QE4" s="19" t="s">
        <v>1034</v>
      </c>
      <c r="QF4" s="19" t="s">
        <v>1036</v>
      </c>
      <c r="QG4" s="19" t="s">
        <v>1038</v>
      </c>
      <c r="QH4" s="19" t="s">
        <v>1040</v>
      </c>
      <c r="QI4" s="19" t="s">
        <v>1042</v>
      </c>
      <c r="QJ4" s="19" t="s">
        <v>1044</v>
      </c>
      <c r="QK4" s="19" t="s">
        <v>1046</v>
      </c>
      <c r="QL4" s="19" t="s">
        <v>1048</v>
      </c>
      <c r="QM4" s="19" t="s">
        <v>1051</v>
      </c>
      <c r="QN4" s="19" t="s">
        <v>1053</v>
      </c>
      <c r="QO4" s="19" t="s">
        <v>1055</v>
      </c>
      <c r="QP4" s="19" t="s">
        <v>1057</v>
      </c>
      <c r="QQ4" s="19" t="s">
        <v>1059</v>
      </c>
      <c r="QR4" s="19" t="s">
        <v>1061</v>
      </c>
      <c r="QS4" s="19" t="s">
        <v>1063</v>
      </c>
      <c r="QT4" s="19" t="s">
        <v>1065</v>
      </c>
      <c r="QU4" s="19" t="s">
        <v>1067</v>
      </c>
      <c r="QV4" s="19" t="s">
        <v>1069</v>
      </c>
      <c r="QW4" s="19" t="s">
        <v>1073</v>
      </c>
      <c r="QX4" s="19" t="s">
        <v>1075</v>
      </c>
      <c r="QY4" s="19" t="s">
        <v>1077</v>
      </c>
      <c r="QZ4" s="19" t="s">
        <v>1080</v>
      </c>
      <c r="RA4" s="19" t="s">
        <v>1082</v>
      </c>
      <c r="RB4" s="19" t="s">
        <v>1084</v>
      </c>
      <c r="RC4" s="19" t="s">
        <v>1086</v>
      </c>
      <c r="RD4" s="19" t="s">
        <v>1088</v>
      </c>
      <c r="RE4" s="19" t="s">
        <v>1090</v>
      </c>
      <c r="RF4" s="19" t="s">
        <v>1092</v>
      </c>
      <c r="RG4" s="19" t="s">
        <v>1094</v>
      </c>
      <c r="RH4" s="19" t="s">
        <v>1096</v>
      </c>
      <c r="RI4" s="19" t="s">
        <v>1099</v>
      </c>
      <c r="RJ4" s="19" t="s">
        <v>1101</v>
      </c>
      <c r="RK4" s="19" t="s">
        <v>1103</v>
      </c>
      <c r="RL4" s="19" t="s">
        <v>1105</v>
      </c>
      <c r="RM4" s="19" t="s">
        <v>1107</v>
      </c>
      <c r="RN4" s="19" t="s">
        <v>1109</v>
      </c>
      <c r="RO4" s="19" t="s">
        <v>1111</v>
      </c>
      <c r="RP4" s="19" t="s">
        <v>1113</v>
      </c>
      <c r="RQ4" s="19" t="s">
        <v>1115</v>
      </c>
      <c r="RR4" s="19" t="s">
        <v>1117</v>
      </c>
      <c r="RS4" s="19" t="s">
        <v>1119</v>
      </c>
      <c r="RT4" s="19" t="s">
        <v>1121</v>
      </c>
      <c r="RU4" s="19" t="s">
        <v>1124</v>
      </c>
      <c r="RV4" s="19" t="s">
        <v>1126</v>
      </c>
      <c r="RW4" s="19" t="s">
        <v>1128</v>
      </c>
      <c r="RX4" s="19" t="s">
        <v>1130</v>
      </c>
      <c r="RY4" s="19" t="s">
        <v>1132</v>
      </c>
      <c r="RZ4" s="19" t="s">
        <v>1134</v>
      </c>
      <c r="SA4" s="19" t="s">
        <v>1136</v>
      </c>
      <c r="SB4" s="19" t="s">
        <v>1138</v>
      </c>
      <c r="SC4" s="19" t="s">
        <v>1140</v>
      </c>
      <c r="SD4" s="19" t="s">
        <v>1142</v>
      </c>
    </row>
    <row r="5" spans="1:498" x14ac:dyDescent="0.25">
      <c r="A5" s="12">
        <v>44958</v>
      </c>
      <c r="B5" s="9">
        <v>115.86000061035161</v>
      </c>
      <c r="C5" s="9">
        <v>69.959999084472656</v>
      </c>
      <c r="D5" s="9">
        <v>111.8199996948242</v>
      </c>
      <c r="E5" s="9">
        <v>146.6000061035156</v>
      </c>
      <c r="F5" s="9">
        <v>283.60000610351563</v>
      </c>
      <c r="G5" s="9">
        <v>383.92001342773438</v>
      </c>
      <c r="H5" s="9">
        <v>84.639999389648438</v>
      </c>
      <c r="I5" s="9">
        <v>26.79999923706055</v>
      </c>
      <c r="J5" s="9">
        <v>73.279998779296875</v>
      </c>
      <c r="K5" s="9">
        <v>155.44999694824219</v>
      </c>
      <c r="L5" s="9">
        <v>318.1300048828125</v>
      </c>
      <c r="M5" s="9">
        <v>113.9899978637695</v>
      </c>
      <c r="N5" s="9">
        <v>89.580001831054688</v>
      </c>
      <c r="O5" s="9">
        <v>285.89999389648438</v>
      </c>
      <c r="P5" s="9">
        <v>163.27000427246091</v>
      </c>
      <c r="Q5" s="9">
        <v>282.52999877929688</v>
      </c>
      <c r="R5" s="9">
        <v>120.0500030517578</v>
      </c>
      <c r="S5" s="9">
        <v>54.740001678466797</v>
      </c>
      <c r="T5" s="9">
        <v>128.1600036621094</v>
      </c>
      <c r="U5" s="9">
        <v>100.4300003051758</v>
      </c>
      <c r="V5" s="9">
        <v>101.4300003051758</v>
      </c>
      <c r="W5" s="9">
        <v>47.540000915527337</v>
      </c>
      <c r="X5" s="9">
        <v>105.15000152587891</v>
      </c>
      <c r="Y5" s="9">
        <v>12.069999694824221</v>
      </c>
      <c r="Z5" s="9">
        <v>87.290000915527344</v>
      </c>
      <c r="AA5" s="9">
        <v>16.690000534057621</v>
      </c>
      <c r="AB5" s="9">
        <v>94.650001525878906</v>
      </c>
      <c r="AC5" s="9">
        <v>173.61000061035159</v>
      </c>
      <c r="AD5" s="9">
        <v>61.229999542236328</v>
      </c>
      <c r="AE5" s="9">
        <v>227.13999938964841</v>
      </c>
      <c r="AF5" s="9">
        <v>158.6199951171875</v>
      </c>
      <c r="AG5" s="9">
        <v>354.52999877929688</v>
      </c>
      <c r="AH5" s="9">
        <v>145.1499938964844</v>
      </c>
      <c r="AI5" s="9">
        <v>246.4100036621094</v>
      </c>
      <c r="AJ5" s="9">
        <v>81.139999389648438</v>
      </c>
      <c r="AK5" s="9">
        <v>176.5899963378906</v>
      </c>
      <c r="AL5" s="9">
        <v>274.3900146484375</v>
      </c>
      <c r="AM5" s="9">
        <v>319.3800048828125</v>
      </c>
      <c r="AN5" s="9">
        <v>43.400001525878913</v>
      </c>
      <c r="AO5" s="9">
        <v>145.42999267578119</v>
      </c>
      <c r="AP5" s="9">
        <v>119.0100021362305</v>
      </c>
      <c r="AQ5" s="9">
        <v>114.75</v>
      </c>
      <c r="AR5" s="9">
        <v>64.180000305175781</v>
      </c>
      <c r="AS5" s="9">
        <v>83.370002746582031</v>
      </c>
      <c r="AT5" s="9">
        <v>130.52000427246091</v>
      </c>
      <c r="AU5" s="9">
        <v>196.2799987792969</v>
      </c>
      <c r="AV5" s="9">
        <v>132.25</v>
      </c>
      <c r="AW5" s="9">
        <v>20.180000305175781</v>
      </c>
      <c r="AX5" s="9">
        <v>118.9700012207031</v>
      </c>
      <c r="AY5" s="9">
        <v>222.19000244140619</v>
      </c>
      <c r="AZ5" s="9">
        <v>226.72999572753909</v>
      </c>
      <c r="BA5" s="9">
        <v>2495.679931640625</v>
      </c>
      <c r="BB5" s="9">
        <v>178.02000427246091</v>
      </c>
      <c r="BC5" s="9">
        <v>191.6600036621094</v>
      </c>
      <c r="BD5" s="9">
        <v>198.38999938964841</v>
      </c>
      <c r="BE5" s="9">
        <v>31.989999771118161</v>
      </c>
      <c r="BF5" s="9">
        <v>58.439998626708977</v>
      </c>
      <c r="BG5" s="9">
        <v>35.919998168945313</v>
      </c>
      <c r="BH5" s="9">
        <v>50.799999237060547</v>
      </c>
      <c r="BI5" s="9">
        <v>47.979999542236328</v>
      </c>
      <c r="BJ5" s="9">
        <v>46.279998779296882</v>
      </c>
      <c r="BK5" s="9">
        <v>254.16999816894531</v>
      </c>
      <c r="BL5" s="9">
        <v>310.57000732421881</v>
      </c>
      <c r="BM5" s="9">
        <v>89.650001525878906</v>
      </c>
      <c r="BN5" s="9">
        <v>473.42001342773438</v>
      </c>
      <c r="BO5" s="9">
        <v>81.279998779296875</v>
      </c>
      <c r="BP5" s="9">
        <v>291.60000610351563</v>
      </c>
      <c r="BQ5" s="9">
        <v>762.6300048828125</v>
      </c>
      <c r="BR5" s="9">
        <v>97.209999084472656</v>
      </c>
      <c r="BS5" s="9">
        <v>214.75</v>
      </c>
      <c r="BT5" s="9">
        <v>2445.739990234375</v>
      </c>
      <c r="BU5" s="9">
        <v>42.5</v>
      </c>
      <c r="BV5" s="9">
        <v>74.389999389648438</v>
      </c>
      <c r="BW5" s="9">
        <v>47.540000915527337</v>
      </c>
      <c r="BX5" s="9">
        <v>71.230003356933594</v>
      </c>
      <c r="BY5" s="9">
        <v>602.75</v>
      </c>
      <c r="BZ5" s="9">
        <v>153.3800048828125</v>
      </c>
      <c r="CA5" s="9">
        <v>58.400001525878913</v>
      </c>
      <c r="CB5" s="9">
        <v>67.180000305175781</v>
      </c>
      <c r="CC5" s="9">
        <v>81.540000915527344</v>
      </c>
      <c r="CD5" s="9">
        <v>100.120002746582</v>
      </c>
      <c r="CE5" s="9">
        <v>188.88999938964841</v>
      </c>
      <c r="CF5" s="9">
        <v>53.439998626708977</v>
      </c>
      <c r="CG5" s="9">
        <v>123.75</v>
      </c>
      <c r="CH5" s="9">
        <v>51.669998168945313</v>
      </c>
      <c r="CI5" s="9">
        <v>116.3300018310547</v>
      </c>
      <c r="CJ5" s="9">
        <v>75.720001220703125</v>
      </c>
      <c r="CK5" s="9">
        <v>75.839996337890625</v>
      </c>
      <c r="CL5" s="9">
        <v>11.340000152587891</v>
      </c>
      <c r="CM5" s="9">
        <v>46.139999389648438</v>
      </c>
      <c r="CN5" s="9">
        <v>54.720001220703118</v>
      </c>
      <c r="CO5" s="9">
        <v>249.53999328613281</v>
      </c>
      <c r="CP5" s="9">
        <v>123.0500030517578</v>
      </c>
      <c r="CQ5" s="9">
        <v>85.169998168945313</v>
      </c>
      <c r="CR5" s="9">
        <v>199.17999267578119</v>
      </c>
      <c r="CS5" s="9">
        <v>124.98000335693359</v>
      </c>
      <c r="CT5" s="9">
        <v>161.05000305175781</v>
      </c>
      <c r="CU5" s="9">
        <v>75.139999389648438</v>
      </c>
      <c r="CV5" s="9">
        <v>30.10000038146973</v>
      </c>
      <c r="CW5" s="9">
        <v>85.279998779296875</v>
      </c>
      <c r="CX5" s="9">
        <v>102.120002746582</v>
      </c>
      <c r="CY5" s="9">
        <v>248.21000671386719</v>
      </c>
      <c r="CZ5" s="9">
        <v>78.25</v>
      </c>
      <c r="DA5" s="9">
        <v>398.67999267578119</v>
      </c>
      <c r="DB5" s="9">
        <v>171.36000061035159</v>
      </c>
      <c r="DC5" s="9">
        <v>1652.56005859375</v>
      </c>
      <c r="DD5" s="9">
        <v>213.44000244140619</v>
      </c>
      <c r="DE5" s="9">
        <v>81.400001525878906</v>
      </c>
      <c r="DF5" s="9">
        <v>313.27999877929688</v>
      </c>
      <c r="DG5" s="9">
        <v>114.30999755859381</v>
      </c>
      <c r="DH5" s="9">
        <v>446.3599853515625</v>
      </c>
      <c r="DI5" s="9">
        <v>48.569999694824219</v>
      </c>
      <c r="DJ5" s="9">
        <v>52.150001525878913</v>
      </c>
      <c r="DK5" s="9">
        <v>43.659999847412109</v>
      </c>
      <c r="DL5" s="9">
        <v>144.4100036621094</v>
      </c>
      <c r="DM5" s="9">
        <v>175.53999328613281</v>
      </c>
      <c r="DN5" s="9">
        <v>63.720001220703118</v>
      </c>
      <c r="DO5" s="9">
        <v>61.330001831054688</v>
      </c>
      <c r="DP5" s="9">
        <v>68.839996337890625</v>
      </c>
      <c r="DQ5" s="9">
        <v>74.989997863769531</v>
      </c>
      <c r="DR5" s="9">
        <v>39.970001220703118</v>
      </c>
      <c r="DS5" s="9">
        <v>74.349998474121094</v>
      </c>
      <c r="DT5" s="9">
        <v>36.909999847412109</v>
      </c>
      <c r="DU5" s="9">
        <v>117.6999969482422</v>
      </c>
      <c r="DV5" s="9">
        <v>95.449996948242188</v>
      </c>
      <c r="DW5" s="9">
        <v>233.5899963378906</v>
      </c>
      <c r="DX5" s="9">
        <v>85.410003662109375</v>
      </c>
      <c r="DY5" s="9">
        <v>89.144996643066406</v>
      </c>
      <c r="DZ5" s="9">
        <v>34.755001068115227</v>
      </c>
      <c r="EA5" s="9">
        <v>35.279998779296882</v>
      </c>
      <c r="EB5" s="9">
        <v>64.480003356933594</v>
      </c>
      <c r="EC5" s="9">
        <v>79.010002136230469</v>
      </c>
      <c r="ED5" s="9">
        <v>517.90997314453125</v>
      </c>
      <c r="EE5" s="9">
        <v>24.54000091552734</v>
      </c>
      <c r="EF5" s="9">
        <v>149.11000061035159</v>
      </c>
      <c r="EG5" s="9">
        <v>31.590000152587891</v>
      </c>
      <c r="EH5" s="9">
        <v>250.9100036621094</v>
      </c>
      <c r="EI5" s="9">
        <v>87.489997863769531</v>
      </c>
      <c r="EJ5" s="9">
        <v>237.1453857421875</v>
      </c>
      <c r="EK5" s="9">
        <v>147.05999755859381</v>
      </c>
      <c r="EL5" s="9">
        <v>84.80999755859375</v>
      </c>
      <c r="EM5" s="9">
        <v>75.760002136230469</v>
      </c>
      <c r="EN5" s="9">
        <v>428.3900146484375</v>
      </c>
      <c r="EO5" s="9">
        <v>426.989990234375</v>
      </c>
      <c r="EP5" s="9">
        <v>39.889999389648438</v>
      </c>
      <c r="EQ5" s="9">
        <v>37.479999542236328</v>
      </c>
      <c r="ER5" s="9">
        <v>61.889999389648438</v>
      </c>
      <c r="ES5" s="9">
        <v>107.7099990844727</v>
      </c>
      <c r="ET5" s="9">
        <v>143.3500061035156</v>
      </c>
      <c r="EU5" s="9">
        <v>116.15000152587891</v>
      </c>
      <c r="EV5" s="9">
        <v>115.8300018310547</v>
      </c>
      <c r="EW5" s="9">
        <v>235.61000061035159</v>
      </c>
      <c r="EX5" s="9">
        <v>153.53999328613281</v>
      </c>
      <c r="EY5" s="9">
        <v>63.099998474121087</v>
      </c>
      <c r="EZ5" s="9">
        <v>359.79000854492188</v>
      </c>
      <c r="FA5" s="9">
        <v>156.6000061035156</v>
      </c>
      <c r="FB5" s="9">
        <v>60.220001220703118</v>
      </c>
      <c r="FC5" s="9">
        <v>99.900001525878906</v>
      </c>
      <c r="FD5" s="9">
        <v>116.19000244140619</v>
      </c>
      <c r="FE5" s="9">
        <v>102.5400009155273</v>
      </c>
      <c r="FF5" s="9">
        <v>74.139999389648438</v>
      </c>
      <c r="FG5" s="9">
        <v>89.669998168945313</v>
      </c>
      <c r="FH5" s="9">
        <v>163.3399963378906</v>
      </c>
      <c r="FI5" s="9">
        <v>50.400001525878913</v>
      </c>
      <c r="FJ5" s="9">
        <v>155.72999572753909</v>
      </c>
      <c r="FK5" s="9">
        <v>67.870002746582031</v>
      </c>
      <c r="FL5" s="9">
        <v>81.480003356933594</v>
      </c>
      <c r="FM5" s="9">
        <v>116.7600021362305</v>
      </c>
      <c r="FN5" s="9">
        <v>498.76998901367188</v>
      </c>
      <c r="FO5" s="9">
        <v>342.57000732421881</v>
      </c>
      <c r="FP5" s="9">
        <v>91.620002746582031</v>
      </c>
      <c r="FQ5" s="9">
        <v>227.13999938964841</v>
      </c>
      <c r="FR5" s="9">
        <v>109.2099990844727</v>
      </c>
      <c r="FS5" s="9">
        <v>127.2900009155273</v>
      </c>
      <c r="FT5" s="9">
        <v>352.76998901367188</v>
      </c>
      <c r="FU5" s="9">
        <v>31.629999160766602</v>
      </c>
      <c r="FV5" s="9">
        <v>224.6199951171875</v>
      </c>
      <c r="FW5" s="9">
        <v>738.1300048828125</v>
      </c>
      <c r="FX5" s="9">
        <v>64</v>
      </c>
      <c r="FY5" s="9">
        <v>224.6199951171875</v>
      </c>
      <c r="FZ5" s="9">
        <v>280.79998779296881</v>
      </c>
      <c r="GA5" s="9">
        <v>139.58000183105469</v>
      </c>
      <c r="GB5" s="9">
        <v>356.32998657226563</v>
      </c>
      <c r="GC5" s="9">
        <v>62.889999389648438</v>
      </c>
      <c r="GD5" s="9">
        <v>82.709999084472656</v>
      </c>
      <c r="GE5" s="9">
        <v>42.299999237060547</v>
      </c>
      <c r="GF5" s="9">
        <v>117.90000152587891</v>
      </c>
      <c r="GG5" s="9">
        <v>113.6600036621094</v>
      </c>
      <c r="GH5" s="9">
        <v>158.44000244140619</v>
      </c>
      <c r="GI5" s="9">
        <v>114.7399978637695</v>
      </c>
      <c r="GJ5" s="9">
        <v>150.3500061035156</v>
      </c>
      <c r="GK5" s="9">
        <v>426.54998779296881</v>
      </c>
      <c r="GL5" s="9">
        <v>682.67999267578125</v>
      </c>
      <c r="GM5" s="9">
        <v>51.900001525878913</v>
      </c>
      <c r="GN5" s="9">
        <v>112.0400009155273</v>
      </c>
      <c r="GO5" s="9">
        <v>202.11000061035159</v>
      </c>
      <c r="GP5" s="9">
        <v>76.790000915527344</v>
      </c>
      <c r="GQ5" s="9">
        <v>36.779998779296882</v>
      </c>
      <c r="GR5" s="9">
        <v>180.1499938964844</v>
      </c>
      <c r="GS5" s="9">
        <v>41.139999389648438</v>
      </c>
      <c r="GT5" s="9">
        <v>108.1600036621094</v>
      </c>
      <c r="GU5" s="9">
        <v>214.3800048828125</v>
      </c>
      <c r="GV5" s="9">
        <v>132.42999267578119</v>
      </c>
      <c r="GW5" s="9">
        <v>13.789999961853029</v>
      </c>
      <c r="GX5" s="9">
        <v>53.090000152587891</v>
      </c>
      <c r="GY5" s="9">
        <v>65.870002746582031</v>
      </c>
      <c r="GZ5" s="9">
        <v>34.310001373291023</v>
      </c>
      <c r="HA5" s="9">
        <v>32.009998321533203</v>
      </c>
      <c r="HB5" s="9">
        <v>32.009998321533203</v>
      </c>
      <c r="HC5" s="9">
        <v>44.810001373291023</v>
      </c>
      <c r="HD5" s="9">
        <v>101.11000061035161</v>
      </c>
      <c r="HE5" s="9">
        <v>347.27999877929688</v>
      </c>
      <c r="HF5" s="9">
        <v>70.010002136230469</v>
      </c>
      <c r="HG5" s="9">
        <v>23.360000610351559</v>
      </c>
      <c r="HH5" s="9">
        <v>126.5400009155273</v>
      </c>
      <c r="HI5" s="9">
        <v>230.44999694824219</v>
      </c>
      <c r="HJ5" s="9">
        <v>82.319999694824219</v>
      </c>
      <c r="HK5" s="9">
        <v>77.989997863769531</v>
      </c>
      <c r="HL5" s="9">
        <v>39.299999237060547</v>
      </c>
      <c r="HM5" s="9">
        <v>168.57000732421881</v>
      </c>
      <c r="HN5" s="9">
        <v>84</v>
      </c>
      <c r="HO5" s="9">
        <v>115.48000335693359</v>
      </c>
      <c r="HP5" s="9">
        <v>120.1999969482422</v>
      </c>
      <c r="HQ5" s="9">
        <v>365.70999145507813</v>
      </c>
      <c r="HR5" s="9">
        <v>40.840000152587891</v>
      </c>
      <c r="HS5" s="9">
        <v>76.029998779296875</v>
      </c>
      <c r="HT5" s="9">
        <v>60.240001678466797</v>
      </c>
      <c r="HU5" s="9">
        <v>261.45999145507813</v>
      </c>
      <c r="HV5" s="9">
        <v>27.420000076293949</v>
      </c>
      <c r="HW5" s="9">
        <v>87.05999755859375</v>
      </c>
      <c r="HX5" s="9">
        <v>225.30000305175781</v>
      </c>
      <c r="HY5" s="9">
        <v>144.24000549316409</v>
      </c>
      <c r="HZ5" s="9">
        <v>16.110000610351559</v>
      </c>
      <c r="IA5" s="9">
        <v>147.3800048828125</v>
      </c>
      <c r="IB5" s="9">
        <v>82.779998779296875</v>
      </c>
      <c r="IC5" s="9">
        <v>328.08999633789063</v>
      </c>
      <c r="ID5" s="9">
        <v>206.7200012207031</v>
      </c>
      <c r="IE5" s="9">
        <v>45.340000152587891</v>
      </c>
      <c r="IF5" s="9">
        <v>18.79999923706055</v>
      </c>
      <c r="IG5" s="9">
        <v>40.590000152587891</v>
      </c>
      <c r="IH5" s="9">
        <v>29.870000839233398</v>
      </c>
      <c r="II5" s="9">
        <v>238.3500061035156</v>
      </c>
      <c r="IJ5" s="9">
        <v>513.280029296875</v>
      </c>
      <c r="IK5" s="9">
        <v>15.22000026702881</v>
      </c>
      <c r="IL5" s="9">
        <v>218.36000061035159</v>
      </c>
      <c r="IM5" s="9">
        <v>135.0899963378906</v>
      </c>
      <c r="IN5" s="9">
        <v>227.72999572753909</v>
      </c>
      <c r="IO5" s="9">
        <v>483.20001220703119</v>
      </c>
      <c r="IP5" s="9">
        <v>239.55000305175781</v>
      </c>
      <c r="IQ5" s="9">
        <v>216.52000427246091</v>
      </c>
      <c r="IR5" s="9">
        <v>85.599998474121094</v>
      </c>
      <c r="IS5" s="9">
        <v>55.659999847412109</v>
      </c>
      <c r="IT5" s="9">
        <v>290.52999877929688</v>
      </c>
      <c r="IU5" s="9">
        <v>29.069999694824219</v>
      </c>
      <c r="IV5" s="9">
        <v>109.0100021362305</v>
      </c>
      <c r="IW5" s="9">
        <v>113.5100021362305</v>
      </c>
      <c r="IX5" s="9">
        <v>40.849998474121087</v>
      </c>
      <c r="IY5" s="9">
        <v>37.069999694824219</v>
      </c>
      <c r="IZ5" s="9">
        <v>435.54998779296881</v>
      </c>
      <c r="JA5" s="9">
        <v>251.19000244140619</v>
      </c>
      <c r="JB5" s="9">
        <v>18.920000076293949</v>
      </c>
      <c r="JC5" s="9">
        <v>32.680000305175781</v>
      </c>
      <c r="JD5" s="9">
        <v>233.49000549316409</v>
      </c>
      <c r="JE5" s="9">
        <v>55.590000152587891</v>
      </c>
      <c r="JF5" s="9">
        <v>195.96000671386719</v>
      </c>
      <c r="JG5" s="9">
        <v>79.989997863769531</v>
      </c>
      <c r="JH5" s="9">
        <v>181.1600036621094</v>
      </c>
      <c r="JI5" s="9">
        <v>125.1600036621094</v>
      </c>
      <c r="JJ5" s="9">
        <v>164.91999816894531</v>
      </c>
      <c r="JK5" s="9">
        <v>66.360000610351563</v>
      </c>
      <c r="JL5" s="9">
        <v>139.5899963378906</v>
      </c>
      <c r="JM5" s="9">
        <v>30.989999771118161</v>
      </c>
      <c r="JN5" s="9">
        <v>64.093894958496094</v>
      </c>
      <c r="JO5" s="9">
        <v>35.340000152587891</v>
      </c>
      <c r="JP5" s="9">
        <v>19.79999923706055</v>
      </c>
      <c r="JQ5" s="9">
        <v>179.49000549316409</v>
      </c>
      <c r="JR5" s="9">
        <v>130.00999450683591</v>
      </c>
      <c r="JS5" s="9">
        <v>22.530000686645511</v>
      </c>
      <c r="JT5" s="9">
        <v>18.370000839233398</v>
      </c>
      <c r="JU5" s="9">
        <v>409.76998901367188</v>
      </c>
      <c r="JV5" s="9">
        <v>40.540000915527337</v>
      </c>
      <c r="JW5" s="9">
        <v>45.180000305175781</v>
      </c>
      <c r="JX5" s="9">
        <v>215.8500061035156</v>
      </c>
      <c r="JY5" s="9">
        <v>214.89691162109381</v>
      </c>
      <c r="JZ5" s="9">
        <v>530.260009765625</v>
      </c>
      <c r="KA5" s="9">
        <v>99.599998474121094</v>
      </c>
      <c r="KB5" s="9">
        <v>58.919998168945313</v>
      </c>
      <c r="KC5" s="9">
        <v>97.830001831054688</v>
      </c>
      <c r="KD5" s="9">
        <v>104.69000244140619</v>
      </c>
      <c r="KE5" s="9">
        <v>331.07998657226563</v>
      </c>
      <c r="KF5" s="9">
        <v>81.319999694824219</v>
      </c>
      <c r="KG5" s="9">
        <v>462.25</v>
      </c>
      <c r="KH5" s="9">
        <v>60.540000915527337</v>
      </c>
      <c r="KI5" s="9">
        <v>213.55999755859381</v>
      </c>
      <c r="KJ5" s="9">
        <v>315.70999145507813</v>
      </c>
      <c r="KK5" s="9">
        <v>97.169998168945313</v>
      </c>
      <c r="KL5" s="9">
        <v>154.3999938964844</v>
      </c>
      <c r="KM5" s="9">
        <v>26.780000686645511</v>
      </c>
      <c r="KN5" s="9">
        <v>122.9700012207031</v>
      </c>
      <c r="KO5" s="9">
        <v>377</v>
      </c>
      <c r="KP5" s="9">
        <v>175.36000061035159</v>
      </c>
      <c r="KQ5" s="9">
        <v>175.46000671386719</v>
      </c>
      <c r="KR5" s="9">
        <v>362.010009765625</v>
      </c>
      <c r="KS5" s="9">
        <v>54.349998474121087</v>
      </c>
      <c r="KT5" s="9">
        <v>374.07998657226563</v>
      </c>
      <c r="KU5" s="9">
        <v>51.409999847412109</v>
      </c>
      <c r="KV5" s="9">
        <v>75.620002746582031</v>
      </c>
      <c r="KW5" s="9">
        <v>266.26998901367188</v>
      </c>
      <c r="KX5" s="9">
        <v>370.98001098632813</v>
      </c>
      <c r="KY5" s="9">
        <v>85.769996643066406</v>
      </c>
      <c r="KZ5" s="9">
        <v>106.98000335693359</v>
      </c>
      <c r="LA5" s="9">
        <v>153.1199951171875</v>
      </c>
      <c r="LB5" s="9">
        <v>72.680000305175781</v>
      </c>
      <c r="LC5" s="9">
        <v>1560.5400390625</v>
      </c>
      <c r="LD5" s="9">
        <v>41.909999847412109</v>
      </c>
      <c r="LE5" s="9">
        <v>81.160003662109375</v>
      </c>
      <c r="LF5" s="9">
        <v>62.599998474121087</v>
      </c>
      <c r="LG5" s="9">
        <v>252.75</v>
      </c>
      <c r="LH5" s="9">
        <v>168.44000244140619</v>
      </c>
      <c r="LI5" s="9">
        <v>174.30000305175781</v>
      </c>
      <c r="LJ5" s="9">
        <v>123.4899978637695</v>
      </c>
      <c r="LK5" s="9">
        <v>311.75</v>
      </c>
      <c r="LL5" s="9">
        <v>53.310001373291023</v>
      </c>
      <c r="LM5" s="9">
        <v>66.730003356933594</v>
      </c>
      <c r="LN5" s="9">
        <v>457.76998901367188</v>
      </c>
      <c r="LO5" s="9">
        <v>52.020000457763672</v>
      </c>
      <c r="LP5" s="9">
        <v>323.26998901367188</v>
      </c>
      <c r="LQ5" s="9">
        <v>98.19000244140625</v>
      </c>
      <c r="LR5" s="9">
        <v>49.860000610351563</v>
      </c>
      <c r="LS5" s="9">
        <v>259.76998901367188</v>
      </c>
      <c r="LT5" s="9">
        <v>554.52001953125</v>
      </c>
      <c r="LU5" s="9">
        <v>59.5</v>
      </c>
      <c r="LV5" s="9">
        <v>67.110000610351563</v>
      </c>
      <c r="LW5" s="9">
        <v>361.989990234375</v>
      </c>
      <c r="LX5" s="9">
        <v>54.189998626708977</v>
      </c>
      <c r="LY5" s="9">
        <v>20.719999313354489</v>
      </c>
      <c r="LZ5" s="9">
        <v>20.909999847412109</v>
      </c>
      <c r="MA5" s="9">
        <v>74.239997863769531</v>
      </c>
      <c r="MB5" s="9">
        <v>129.5</v>
      </c>
      <c r="MC5" s="9">
        <v>27.860000610351559</v>
      </c>
      <c r="MD5" s="9">
        <v>246.00999450683591</v>
      </c>
      <c r="ME5" s="9">
        <v>248.78999328613281</v>
      </c>
      <c r="MF5" s="9">
        <v>96.75</v>
      </c>
      <c r="MG5" s="9">
        <v>442.58999633789063</v>
      </c>
      <c r="MH5" s="9">
        <v>16.110000610351559</v>
      </c>
      <c r="MI5" s="9">
        <v>34.599998474121087</v>
      </c>
      <c r="MJ5" s="9">
        <v>174.97999572753909</v>
      </c>
      <c r="MK5" s="9">
        <v>209.42999267578119</v>
      </c>
      <c r="ML5" s="9">
        <v>5357.919921875</v>
      </c>
      <c r="MM5" s="9">
        <v>193.94000244140619</v>
      </c>
      <c r="MN5" s="9">
        <v>807.92999267578125</v>
      </c>
      <c r="MO5" s="9">
        <v>63.5</v>
      </c>
      <c r="MP5" s="9">
        <v>367.6199951171875</v>
      </c>
      <c r="MQ5" s="9">
        <v>87.629997253417969</v>
      </c>
      <c r="MR5" s="9">
        <v>77.839996337890625</v>
      </c>
      <c r="MS5" s="9">
        <v>68.239997863769531</v>
      </c>
      <c r="MT5" s="9">
        <v>90.050003051757813</v>
      </c>
      <c r="MU5" s="9">
        <v>84.55999755859375</v>
      </c>
      <c r="MV5" s="9">
        <v>74.239997863769531</v>
      </c>
      <c r="MW5" s="9">
        <v>142.1499938964844</v>
      </c>
      <c r="MX5" s="9">
        <v>159.7200012207031</v>
      </c>
      <c r="MY5" s="9">
        <v>24.39999961853027</v>
      </c>
      <c r="MZ5" s="9">
        <v>328.69000244140619</v>
      </c>
      <c r="NA5" s="9">
        <v>117.7099990844727</v>
      </c>
      <c r="NB5" s="9">
        <v>340.76998901367188</v>
      </c>
      <c r="NC5" s="9">
        <v>82.910003662109375</v>
      </c>
      <c r="ND5" s="9">
        <v>57.619998931884773</v>
      </c>
      <c r="NE5" s="9">
        <v>171.55999755859381</v>
      </c>
      <c r="NF5" s="9">
        <v>43.970001220703118</v>
      </c>
      <c r="NG5" s="9">
        <v>15.64000034332275</v>
      </c>
      <c r="NH5" s="9">
        <v>105.38999938964839</v>
      </c>
      <c r="NI5" s="9">
        <v>97.989997863769531</v>
      </c>
      <c r="NJ5" s="9">
        <v>76.529998779296875</v>
      </c>
      <c r="NK5" s="9">
        <v>223.96000671386719</v>
      </c>
      <c r="NL5" s="9">
        <v>164.78999328613281</v>
      </c>
      <c r="NM5" s="9">
        <v>398.1400146484375</v>
      </c>
      <c r="NN5" s="9">
        <v>132.00999450683591</v>
      </c>
      <c r="NO5" s="9">
        <v>29.610000610351559</v>
      </c>
      <c r="NP5" s="9">
        <v>92.080001831054688</v>
      </c>
      <c r="NQ5" s="9">
        <v>137.97999572753909</v>
      </c>
      <c r="NR5" s="9">
        <v>130.8999938964844</v>
      </c>
      <c r="NS5" s="9">
        <v>104.2600021362305</v>
      </c>
      <c r="NT5" s="9">
        <v>61.810001373291023</v>
      </c>
      <c r="NU5" s="9">
        <v>138.11000061035159</v>
      </c>
      <c r="NV5" s="9">
        <v>305.94000244140619</v>
      </c>
      <c r="NW5" s="9">
        <v>58.439998626708977</v>
      </c>
      <c r="NX5" s="9">
        <v>113.5299987792969</v>
      </c>
      <c r="NY5" s="9">
        <v>152.8699951171875</v>
      </c>
      <c r="NZ5" s="9">
        <v>138.46000671386719</v>
      </c>
      <c r="OA5" s="9">
        <v>148.63999938964841</v>
      </c>
      <c r="OB5" s="9">
        <v>127.73000335693359</v>
      </c>
      <c r="OC5" s="9">
        <v>112.09999847412109</v>
      </c>
      <c r="OD5" s="9">
        <v>98.419998168945313</v>
      </c>
      <c r="OE5" s="9">
        <v>67.900001525878906</v>
      </c>
      <c r="OF5" s="9">
        <v>67.099998474121094</v>
      </c>
      <c r="OG5" s="9">
        <v>23.780000686645511</v>
      </c>
      <c r="OH5" s="9">
        <v>124.7900009155273</v>
      </c>
      <c r="OI5" s="9">
        <v>229.02000427246091</v>
      </c>
      <c r="OJ5" s="9">
        <v>139.27000427246091</v>
      </c>
      <c r="OK5" s="9">
        <v>85.589996337890625</v>
      </c>
      <c r="OL5" s="9">
        <v>282.8699951171875</v>
      </c>
      <c r="OM5" s="9">
        <v>36.340000152587891</v>
      </c>
      <c r="ON5" s="9">
        <v>433.91000366210938</v>
      </c>
      <c r="OO5" s="9">
        <v>118.51999664306641</v>
      </c>
      <c r="OP5" s="9">
        <v>67.269996643066406</v>
      </c>
      <c r="OQ5" s="9">
        <v>377.17999267578119</v>
      </c>
      <c r="OR5" s="9">
        <v>171.82000732421881</v>
      </c>
      <c r="OS5" s="9">
        <v>301.17001342773438</v>
      </c>
      <c r="OT5" s="9">
        <v>55.700000762939453</v>
      </c>
      <c r="OU5" s="9">
        <v>70.489997863769531</v>
      </c>
      <c r="OV5" s="9">
        <v>79.94000244140625</v>
      </c>
      <c r="OW5" s="9">
        <v>473.80999755859381</v>
      </c>
      <c r="OX5" s="9">
        <v>243.2200012207031</v>
      </c>
      <c r="OY5" s="9">
        <v>128.92999267578119</v>
      </c>
      <c r="OZ5" s="9">
        <v>113.120002746582</v>
      </c>
      <c r="PA5" s="9">
        <v>152.08000183105469</v>
      </c>
      <c r="PB5" s="9">
        <v>250.3699951171875</v>
      </c>
      <c r="PC5" s="9">
        <v>68.860000610351563</v>
      </c>
      <c r="PD5" s="9">
        <v>35.630001068115227</v>
      </c>
      <c r="PE5" s="9">
        <v>91.160003662109375</v>
      </c>
      <c r="PF5" s="9">
        <v>109.9899978637695</v>
      </c>
      <c r="PG5" s="9">
        <v>92.279998779296875</v>
      </c>
      <c r="PH5" s="9">
        <v>125.3199996948242</v>
      </c>
      <c r="PI5" s="9">
        <v>214.49000549316409</v>
      </c>
      <c r="PJ5" s="9">
        <v>278.95001220703119</v>
      </c>
      <c r="PK5" s="9">
        <v>79.739997863769531</v>
      </c>
      <c r="PL5" s="9">
        <v>367.04998779296881</v>
      </c>
      <c r="PM5" s="9">
        <v>77.919998168945313</v>
      </c>
      <c r="PN5" s="9">
        <v>150.9700012207031</v>
      </c>
      <c r="PO5" s="9">
        <v>120.0400009155273</v>
      </c>
      <c r="PP5" s="9">
        <v>112.25</v>
      </c>
      <c r="PQ5" s="9">
        <v>46.619998931884773</v>
      </c>
      <c r="PR5" s="9">
        <v>74.580001831054688</v>
      </c>
      <c r="PS5" s="9">
        <v>177.08000183105469</v>
      </c>
      <c r="PT5" s="9">
        <v>130.19999694824219</v>
      </c>
      <c r="PU5" s="9">
        <v>429.67001342773438</v>
      </c>
      <c r="PV5" s="9">
        <v>250.17999267578119</v>
      </c>
      <c r="PW5" s="9">
        <v>107.9899978637695</v>
      </c>
      <c r="PX5" s="9">
        <v>181.4100036621094</v>
      </c>
      <c r="PY5" s="9">
        <v>182.1000061035156</v>
      </c>
      <c r="PZ5" s="9">
        <v>74.550003051757813</v>
      </c>
      <c r="QA5" s="9">
        <v>587.3599853515625</v>
      </c>
      <c r="QB5" s="9">
        <v>82.419998168945313</v>
      </c>
      <c r="QC5" s="9">
        <v>230.0299987792969</v>
      </c>
      <c r="QD5" s="9">
        <v>178.80000305175781</v>
      </c>
      <c r="QE5" s="9">
        <v>728.1500244140625</v>
      </c>
      <c r="QF5" s="9">
        <v>185.22999572753909</v>
      </c>
      <c r="QG5" s="9">
        <v>728.1500244140625</v>
      </c>
      <c r="QH5" s="9">
        <v>49.630001068115227</v>
      </c>
      <c r="QI5" s="9">
        <v>336.45999145507813</v>
      </c>
      <c r="QJ5" s="9">
        <v>65.129997253417969</v>
      </c>
      <c r="QK5" s="9">
        <v>49.220001220703118</v>
      </c>
      <c r="QL5" s="9">
        <v>31.489999771118161</v>
      </c>
      <c r="QM5" s="9">
        <v>42.830001831054688</v>
      </c>
      <c r="QN5" s="9">
        <v>523.59002685546875</v>
      </c>
      <c r="QO5" s="9">
        <v>207.92999267578119</v>
      </c>
      <c r="QP5" s="9">
        <v>50.220001220703118</v>
      </c>
      <c r="QQ5" s="9">
        <v>184.97999572753909</v>
      </c>
      <c r="QR5" s="9">
        <v>454.89999389648438</v>
      </c>
      <c r="QS5" s="9">
        <v>497</v>
      </c>
      <c r="QT5" s="9">
        <v>152.66999816894531</v>
      </c>
      <c r="QU5" s="9">
        <v>136.22999572753909</v>
      </c>
      <c r="QV5" s="9">
        <v>51.659999847412109</v>
      </c>
      <c r="QW5" s="9">
        <v>220.72999572753909</v>
      </c>
      <c r="QX5" s="9">
        <v>184.1600036621094</v>
      </c>
      <c r="QY5" s="9">
        <v>41.689998626708977</v>
      </c>
      <c r="QZ5" s="9">
        <v>317.26998901367188</v>
      </c>
      <c r="RA5" s="9">
        <v>31.639999389648441</v>
      </c>
      <c r="RB5" s="9">
        <v>317.26998901367188</v>
      </c>
      <c r="RC5" s="9">
        <v>31.639999389648441</v>
      </c>
      <c r="RD5" s="9">
        <v>230.8999938964844</v>
      </c>
      <c r="RE5" s="9">
        <v>183.88999938964841</v>
      </c>
      <c r="RF5" s="9">
        <v>69.080001831054688</v>
      </c>
      <c r="RG5" s="9">
        <v>104.48000335693359</v>
      </c>
      <c r="RH5" s="9">
        <v>37.180000305175781</v>
      </c>
      <c r="RI5" s="9">
        <v>48.223331451416023</v>
      </c>
      <c r="RJ5" s="9">
        <v>109.38999938964839</v>
      </c>
      <c r="RK5" s="9">
        <v>15.35999965667725</v>
      </c>
      <c r="RL5" s="9">
        <v>154.4100036621094</v>
      </c>
      <c r="RM5" s="9">
        <v>338.02999877929688</v>
      </c>
      <c r="RN5" s="9">
        <v>94.900001525878906</v>
      </c>
      <c r="RO5" s="9">
        <v>47.330001831054688</v>
      </c>
      <c r="RP5" s="9">
        <v>74.879997253417969</v>
      </c>
      <c r="RQ5" s="9">
        <v>271.58999633789063</v>
      </c>
      <c r="RR5" s="9">
        <v>43.319999694824219</v>
      </c>
      <c r="RS5" s="9">
        <v>34.270000457763672</v>
      </c>
      <c r="RT5" s="9">
        <v>35.009998321533203</v>
      </c>
      <c r="RU5" s="9">
        <v>31.860000610351559</v>
      </c>
      <c r="RV5" s="9">
        <v>253.22999572753909</v>
      </c>
      <c r="RW5" s="9">
        <v>598.04998779296875</v>
      </c>
      <c r="RX5" s="9">
        <v>104.3199996948242</v>
      </c>
      <c r="RY5" s="9">
        <v>69.610000610351563</v>
      </c>
      <c r="RZ5" s="9">
        <v>104.9199981689453</v>
      </c>
      <c r="SA5" s="9">
        <v>129.00999450683591</v>
      </c>
      <c r="SB5" s="9">
        <v>328.6300048828125</v>
      </c>
      <c r="SC5" s="9">
        <v>127.8000030517578</v>
      </c>
      <c r="SD5" s="9">
        <v>167.80999755859381</v>
      </c>
    </row>
    <row r="6" spans="1:498" x14ac:dyDescent="0.25">
      <c r="A6" s="13">
        <v>44986</v>
      </c>
      <c r="B6" s="10">
        <v>110.2099990844727</v>
      </c>
      <c r="C6" s="10">
        <v>66.769996643066406</v>
      </c>
      <c r="D6" s="10">
        <v>100.8300018310547</v>
      </c>
      <c r="E6" s="10">
        <v>155.27000427246091</v>
      </c>
      <c r="F6" s="10">
        <v>263.58999633789063</v>
      </c>
      <c r="G6" s="10">
        <v>323.3800048828125</v>
      </c>
      <c r="H6" s="10">
        <v>78.290000915527344</v>
      </c>
      <c r="I6" s="10">
        <v>24.629999160766602</v>
      </c>
      <c r="J6" s="10">
        <v>68.120002746582031</v>
      </c>
      <c r="K6" s="10">
        <v>137.50999450683591</v>
      </c>
      <c r="L6" s="10">
        <v>288.27999877929688</v>
      </c>
      <c r="M6" s="10">
        <v>120.8300018310547</v>
      </c>
      <c r="N6" s="10">
        <v>73.050003051757813</v>
      </c>
      <c r="O6" s="10">
        <v>252.63999938964841</v>
      </c>
      <c r="P6" s="10">
        <v>142.9100036621094</v>
      </c>
      <c r="Q6" s="10">
        <v>308.52999877929688</v>
      </c>
      <c r="R6" s="10">
        <v>112.4100036621094</v>
      </c>
      <c r="S6" s="10">
        <v>50.25</v>
      </c>
      <c r="T6" s="10">
        <v>127.61000061035161</v>
      </c>
      <c r="U6" s="10">
        <v>90.360000610351563</v>
      </c>
      <c r="V6" s="10">
        <v>90.510002136230469</v>
      </c>
      <c r="W6" s="10">
        <v>46.150001525878913</v>
      </c>
      <c r="X6" s="10">
        <v>92.169998168945313</v>
      </c>
      <c r="Y6" s="10">
        <v>11.14999961853027</v>
      </c>
      <c r="Z6" s="10">
        <v>81.040000915527344</v>
      </c>
      <c r="AA6" s="10">
        <v>16.030000686645511</v>
      </c>
      <c r="AB6" s="10">
        <v>86.360000610351563</v>
      </c>
      <c r="AC6" s="10">
        <v>175.9100036621094</v>
      </c>
      <c r="AD6" s="10">
        <v>60.959999084472663</v>
      </c>
      <c r="AE6" s="10">
        <v>194.88999938964841</v>
      </c>
      <c r="AF6" s="10">
        <v>138.13999938964841</v>
      </c>
      <c r="AG6" s="10">
        <v>343.29000854492188</v>
      </c>
      <c r="AH6" s="10">
        <v>141.6499938964844</v>
      </c>
      <c r="AI6" s="10">
        <v>236.19000244140619</v>
      </c>
      <c r="AJ6" s="10">
        <v>77.709999084472656</v>
      </c>
      <c r="AK6" s="10">
        <v>183.11000061035159</v>
      </c>
      <c r="AL6" s="10">
        <v>299.20001220703119</v>
      </c>
      <c r="AM6" s="10">
        <v>301.70999145507813</v>
      </c>
      <c r="AN6" s="10">
        <v>39.630001068115227</v>
      </c>
      <c r="AO6" s="10">
        <v>145.30999755859381</v>
      </c>
      <c r="AP6" s="10">
        <v>117.2600021362305</v>
      </c>
      <c r="AQ6" s="10">
        <v>118.09999847412109</v>
      </c>
      <c r="AR6" s="10">
        <v>70.970001220703125</v>
      </c>
      <c r="AS6" s="10">
        <v>79.239997863769531</v>
      </c>
      <c r="AT6" s="10">
        <v>138.55999755859381</v>
      </c>
      <c r="AU6" s="10">
        <v>187.7799987792969</v>
      </c>
      <c r="AV6" s="10">
        <v>126.4499969482422</v>
      </c>
      <c r="AW6" s="10">
        <v>18.659999847412109</v>
      </c>
      <c r="AX6" s="10">
        <v>110.5400009155273</v>
      </c>
      <c r="AY6" s="10">
        <v>196.3800048828125</v>
      </c>
      <c r="AZ6" s="10">
        <v>219.55999755859381</v>
      </c>
      <c r="BA6" s="10">
        <v>2456.3701171875</v>
      </c>
      <c r="BB6" s="10">
        <v>168.21000671386719</v>
      </c>
      <c r="BC6" s="10">
        <v>181.1199951171875</v>
      </c>
      <c r="BD6" s="10">
        <v>221.05999755859381</v>
      </c>
      <c r="BE6" s="10">
        <v>31.090000152587891</v>
      </c>
      <c r="BF6" s="10">
        <v>54.659999847412109</v>
      </c>
      <c r="BG6" s="10">
        <v>34.139999389648438</v>
      </c>
      <c r="BH6" s="10">
        <v>50.520000457763672</v>
      </c>
      <c r="BI6" s="10">
        <v>39.409999847412109</v>
      </c>
      <c r="BJ6" s="10">
        <v>39.060001373291023</v>
      </c>
      <c r="BK6" s="10">
        <v>232.1600036621094</v>
      </c>
      <c r="BL6" s="10">
        <v>304.6199951171875</v>
      </c>
      <c r="BM6" s="10">
        <v>82.540000915527344</v>
      </c>
      <c r="BN6" s="10">
        <v>475.41000366210938</v>
      </c>
      <c r="BO6" s="10">
        <v>74.910003662109375</v>
      </c>
      <c r="BP6" s="10">
        <v>272.20999145507813</v>
      </c>
      <c r="BQ6" s="10">
        <v>680.55999755859375</v>
      </c>
      <c r="BR6" s="10">
        <v>89.779998779296875</v>
      </c>
      <c r="BS6" s="10">
        <v>204.55000305175781</v>
      </c>
      <c r="BT6" s="10">
        <v>2552.320068359375</v>
      </c>
      <c r="BU6" s="10">
        <v>44.586269378662109</v>
      </c>
      <c r="BV6" s="10">
        <v>64.80999755859375</v>
      </c>
      <c r="BW6" s="10">
        <v>46.819999694824219</v>
      </c>
      <c r="BX6" s="10">
        <v>69.360000610351563</v>
      </c>
      <c r="BY6" s="10">
        <v>593.57000732421875</v>
      </c>
      <c r="BZ6" s="10">
        <v>139.99000549316409</v>
      </c>
      <c r="CA6" s="10">
        <v>56.009998321533203</v>
      </c>
      <c r="CB6" s="10">
        <v>64.25</v>
      </c>
      <c r="CC6" s="10">
        <v>85.760002136230469</v>
      </c>
      <c r="CD6" s="10">
        <v>95.169998168945313</v>
      </c>
      <c r="CE6" s="10">
        <v>191.42999267578119</v>
      </c>
      <c r="CF6" s="10">
        <v>51.299999237060547</v>
      </c>
      <c r="CG6" s="10">
        <v>111.9599990844727</v>
      </c>
      <c r="CH6" s="10">
        <v>51.909999847412109</v>
      </c>
      <c r="CI6" s="10">
        <v>108.5800018310547</v>
      </c>
      <c r="CJ6" s="10">
        <v>75.980003356933594</v>
      </c>
      <c r="CK6" s="10">
        <v>68.760002136230469</v>
      </c>
      <c r="CL6" s="10">
        <v>10.590000152587891</v>
      </c>
      <c r="CM6" s="10">
        <v>45.590000152587891</v>
      </c>
      <c r="CN6" s="10">
        <v>69.010002136230469</v>
      </c>
      <c r="CO6" s="10">
        <v>248.66999816894531</v>
      </c>
      <c r="CP6" s="10">
        <v>126.7099990844727</v>
      </c>
      <c r="CQ6" s="10">
        <v>84.389999389648438</v>
      </c>
      <c r="CR6" s="10">
        <v>200.7799987792969</v>
      </c>
      <c r="CS6" s="10">
        <v>119.7099990844727</v>
      </c>
      <c r="CT6" s="10">
        <v>156.50999450683591</v>
      </c>
      <c r="CU6" s="10">
        <v>68.510002136230469</v>
      </c>
      <c r="CV6" s="10">
        <v>27.360000610351559</v>
      </c>
      <c r="CW6" s="10">
        <v>85.150001525878906</v>
      </c>
      <c r="CX6" s="10">
        <v>99.379997253417969</v>
      </c>
      <c r="CY6" s="10">
        <v>222.91999816894531</v>
      </c>
      <c r="CZ6" s="10">
        <v>77.410003662109375</v>
      </c>
      <c r="DA6" s="10">
        <v>362.54000854492188</v>
      </c>
      <c r="DB6" s="10">
        <v>162.05000305175781</v>
      </c>
      <c r="DC6" s="10">
        <v>1484.77001953125</v>
      </c>
      <c r="DD6" s="10">
        <v>209.5</v>
      </c>
      <c r="DE6" s="10">
        <v>83.129997253417969</v>
      </c>
      <c r="DF6" s="10">
        <v>288.75</v>
      </c>
      <c r="DG6" s="10">
        <v>119.9199981689453</v>
      </c>
      <c r="DH6" s="10">
        <v>429.1400146484375</v>
      </c>
      <c r="DI6" s="10">
        <v>48.340000152587891</v>
      </c>
      <c r="DJ6" s="10">
        <v>51.5</v>
      </c>
      <c r="DK6" s="10">
        <v>41.610000610351563</v>
      </c>
      <c r="DL6" s="10">
        <v>154.69000244140619</v>
      </c>
      <c r="DM6" s="10">
        <v>184.22999572753909</v>
      </c>
      <c r="DN6" s="10">
        <v>57.779998779296882</v>
      </c>
      <c r="DO6" s="10">
        <v>58.860000610351563</v>
      </c>
      <c r="DP6" s="10">
        <v>62.369998931884773</v>
      </c>
      <c r="DQ6" s="10">
        <v>72.550003051757813</v>
      </c>
      <c r="DR6" s="10">
        <v>36.630001068115227</v>
      </c>
      <c r="DS6" s="10">
        <v>70.680000305175781</v>
      </c>
      <c r="DT6" s="10">
        <v>35.740001678466797</v>
      </c>
      <c r="DU6" s="10">
        <v>106.25</v>
      </c>
      <c r="DV6" s="10">
        <v>88.150001525878906</v>
      </c>
      <c r="DW6" s="10">
        <v>219.69999694824219</v>
      </c>
      <c r="DX6" s="10">
        <v>74.349998474121094</v>
      </c>
      <c r="DY6" s="10">
        <v>80.889999389648438</v>
      </c>
      <c r="DZ6" s="10">
        <v>34.900001525878913</v>
      </c>
      <c r="EA6" s="10">
        <v>34.330001831054688</v>
      </c>
      <c r="EB6" s="10">
        <v>62.150001525878913</v>
      </c>
      <c r="EC6" s="10">
        <v>70.029998779296875</v>
      </c>
      <c r="ED6" s="10">
        <v>478.67001342773438</v>
      </c>
      <c r="EE6" s="10">
        <v>25.239999771118161</v>
      </c>
      <c r="EF6" s="10">
        <v>128.96000671386719</v>
      </c>
      <c r="EG6" s="10">
        <v>30.860000610351559</v>
      </c>
      <c r="EH6" s="10">
        <v>249.21000671386719</v>
      </c>
      <c r="EI6" s="10">
        <v>82.470001220703125</v>
      </c>
      <c r="EJ6" s="10">
        <v>217.5177307128906</v>
      </c>
      <c r="EK6" s="10">
        <v>143.6499938964844</v>
      </c>
      <c r="EL6" s="10">
        <v>82.330001831054688</v>
      </c>
      <c r="EM6" s="10">
        <v>72.019996643066406</v>
      </c>
      <c r="EN6" s="10">
        <v>415.58999633789063</v>
      </c>
      <c r="EO6" s="10">
        <v>419.75</v>
      </c>
      <c r="EP6" s="10">
        <v>38.509998321533203</v>
      </c>
      <c r="EQ6" s="10">
        <v>37.360000610351563</v>
      </c>
      <c r="ER6" s="10">
        <v>54.740001678466797</v>
      </c>
      <c r="ES6" s="10">
        <v>110.7600021362305</v>
      </c>
      <c r="ET6" s="10">
        <v>144.6199951171875</v>
      </c>
      <c r="EU6" s="10">
        <v>100.8300018310547</v>
      </c>
      <c r="EV6" s="10">
        <v>112.94000244140619</v>
      </c>
      <c r="EW6" s="10">
        <v>213.78999328613281</v>
      </c>
      <c r="EX6" s="10">
        <v>148.1199951171875</v>
      </c>
      <c r="EY6" s="10">
        <v>54.740001678466797</v>
      </c>
      <c r="EZ6" s="10">
        <v>301.73001098632813</v>
      </c>
      <c r="FA6" s="10">
        <v>150.1199951171875</v>
      </c>
      <c r="FB6" s="10">
        <v>58.020000457763672</v>
      </c>
      <c r="FC6" s="10">
        <v>90.889999389648438</v>
      </c>
      <c r="FD6" s="10">
        <v>106.86000061035161</v>
      </c>
      <c r="FE6" s="10">
        <v>91.910003662109375</v>
      </c>
      <c r="FF6" s="10">
        <v>73.669998168945313</v>
      </c>
      <c r="FG6" s="10">
        <v>86.370002746582031</v>
      </c>
      <c r="FH6" s="10">
        <v>173.83000183105469</v>
      </c>
      <c r="FI6" s="10">
        <v>45.75</v>
      </c>
      <c r="FJ6" s="10">
        <v>158.52000427246091</v>
      </c>
      <c r="FK6" s="10">
        <v>64.589996337890625</v>
      </c>
      <c r="FL6" s="10">
        <v>79.849998474121094</v>
      </c>
      <c r="FM6" s="10">
        <v>110.4100036621094</v>
      </c>
      <c r="FN6" s="10">
        <v>469.02999877929688</v>
      </c>
      <c r="FO6" s="10">
        <v>314.17001342773438</v>
      </c>
      <c r="FP6" s="10">
        <v>83.05999755859375</v>
      </c>
      <c r="FQ6" s="10">
        <v>212.94999694824219</v>
      </c>
      <c r="FR6" s="10">
        <v>101.4199981689453</v>
      </c>
      <c r="FS6" s="10">
        <v>118.0100021362305</v>
      </c>
      <c r="FT6" s="10">
        <v>305.58999633789063</v>
      </c>
      <c r="FU6" s="10">
        <v>33.299999237060547</v>
      </c>
      <c r="FV6" s="10">
        <v>200.74000549316409</v>
      </c>
      <c r="FW6" s="10">
        <v>675.97998046875</v>
      </c>
      <c r="FX6" s="10">
        <v>60.939998626708977</v>
      </c>
      <c r="FY6" s="10">
        <v>222.8399963378906</v>
      </c>
      <c r="FZ6" s="10">
        <v>245.83000183105469</v>
      </c>
      <c r="GA6" s="10">
        <v>118.2799987792969</v>
      </c>
      <c r="GB6" s="10">
        <v>390.83999633789063</v>
      </c>
      <c r="GC6" s="10">
        <v>58.049999237060547</v>
      </c>
      <c r="GD6" s="10">
        <v>73.169998168945313</v>
      </c>
      <c r="GE6" s="10">
        <v>39.75</v>
      </c>
      <c r="GF6" s="10">
        <v>106.1600036621094</v>
      </c>
      <c r="GG6" s="10">
        <v>105.379997253418</v>
      </c>
      <c r="GH6" s="10">
        <v>163.6600036621094</v>
      </c>
      <c r="GI6" s="10">
        <v>110.88999938964839</v>
      </c>
      <c r="GJ6" s="10">
        <v>144.03999328613281</v>
      </c>
      <c r="GK6" s="10">
        <v>412.76998901367188</v>
      </c>
      <c r="GL6" s="10">
        <v>682.78997802734375</v>
      </c>
      <c r="GM6" s="10">
        <v>51.549999237060547</v>
      </c>
      <c r="GN6" s="10">
        <v>106.629997253418</v>
      </c>
      <c r="GO6" s="10">
        <v>204.33000183105469</v>
      </c>
      <c r="GP6" s="10">
        <v>62.849998474121087</v>
      </c>
      <c r="GQ6" s="10">
        <v>36.189998626708977</v>
      </c>
      <c r="GR6" s="10">
        <v>195.67999267578119</v>
      </c>
      <c r="GS6" s="10">
        <v>38.740001678466797</v>
      </c>
      <c r="GT6" s="10">
        <v>115.80999755859381</v>
      </c>
      <c r="GU6" s="10">
        <v>213.5</v>
      </c>
      <c r="GV6" s="10">
        <v>128.1199951171875</v>
      </c>
      <c r="GW6" s="10">
        <v>12.319999694824221</v>
      </c>
      <c r="GX6" s="10">
        <v>58.439998626708977</v>
      </c>
      <c r="GY6" s="10">
        <v>66.779998779296875</v>
      </c>
      <c r="GZ6" s="10">
        <v>34.799999237060547</v>
      </c>
      <c r="HA6" s="10">
        <v>32.040000915527337</v>
      </c>
      <c r="HB6" s="10">
        <v>29.10000038146973</v>
      </c>
      <c r="HC6" s="10">
        <v>43</v>
      </c>
      <c r="HD6" s="10">
        <v>96.75</v>
      </c>
      <c r="HE6" s="10">
        <v>325.42001342773438</v>
      </c>
      <c r="HF6" s="10">
        <v>75.300003051757813</v>
      </c>
      <c r="HG6" s="10">
        <v>19.190000534057621</v>
      </c>
      <c r="HH6" s="10">
        <v>118.2399978637695</v>
      </c>
      <c r="HI6" s="10">
        <v>227.69000244140619</v>
      </c>
      <c r="HJ6" s="10">
        <v>84.139999389648438</v>
      </c>
      <c r="HK6" s="10">
        <v>78.849998474121094</v>
      </c>
      <c r="HL6" s="10">
        <v>38.720001220703118</v>
      </c>
      <c r="HM6" s="10">
        <v>170.30999755859381</v>
      </c>
      <c r="HN6" s="10">
        <v>79.589996337890625</v>
      </c>
      <c r="HO6" s="10">
        <v>111.6800003051758</v>
      </c>
      <c r="HP6" s="10">
        <v>121.6600036621094</v>
      </c>
      <c r="HQ6" s="10">
        <v>346.23001098632813</v>
      </c>
      <c r="HR6" s="10">
        <v>37.509998321533203</v>
      </c>
      <c r="HS6" s="10">
        <v>77.540000915527344</v>
      </c>
      <c r="HT6" s="10">
        <v>54.479999542236328</v>
      </c>
      <c r="HU6" s="10">
        <v>244.30000305175781</v>
      </c>
      <c r="HV6" s="10">
        <v>23.639999389648441</v>
      </c>
      <c r="HW6" s="10">
        <v>77.75</v>
      </c>
      <c r="HX6" s="10">
        <v>236.6499938964844</v>
      </c>
      <c r="HY6" s="10">
        <v>137.86000061035159</v>
      </c>
      <c r="HZ6" s="10">
        <v>15.539999961853029</v>
      </c>
      <c r="IA6" s="10">
        <v>145.5</v>
      </c>
      <c r="IB6" s="10">
        <v>79.05999755859375</v>
      </c>
      <c r="IC6" s="10">
        <v>290.79000854492188</v>
      </c>
      <c r="ID6" s="10">
        <v>192.8800048828125</v>
      </c>
      <c r="IE6" s="10">
        <v>43.830001831054688</v>
      </c>
      <c r="IF6" s="10">
        <v>17.010000228881839</v>
      </c>
      <c r="IG6" s="10">
        <v>42.799999237060547</v>
      </c>
      <c r="IH6" s="10">
        <v>28.860000610351559</v>
      </c>
      <c r="II6" s="10">
        <v>249.63999938964841</v>
      </c>
      <c r="IJ6" s="10">
        <v>496.14999389648438</v>
      </c>
      <c r="IK6" s="10">
        <v>15.30000019073486</v>
      </c>
      <c r="IL6" s="10">
        <v>215.72999572753909</v>
      </c>
      <c r="IM6" s="10">
        <v>128.19000244140619</v>
      </c>
      <c r="IN6" s="10">
        <v>223.47999572753909</v>
      </c>
      <c r="IO6" s="10">
        <v>469.10000610351563</v>
      </c>
      <c r="IP6" s="10">
        <v>232.30999755859381</v>
      </c>
      <c r="IQ6" s="10">
        <v>198.53999328613281</v>
      </c>
      <c r="IR6" s="10">
        <v>77.830001831054688</v>
      </c>
      <c r="IS6" s="10">
        <v>58.040000915527337</v>
      </c>
      <c r="IT6" s="10">
        <v>282.48001098632813</v>
      </c>
      <c r="IU6" s="10">
        <v>25.329999923706051</v>
      </c>
      <c r="IV6" s="10">
        <v>100.90000152587891</v>
      </c>
      <c r="IW6" s="10">
        <v>91.639999389648438</v>
      </c>
      <c r="IX6" s="10">
        <v>36.689998626708977</v>
      </c>
      <c r="IY6" s="10">
        <v>35.569999694824219</v>
      </c>
      <c r="IZ6" s="10">
        <v>401.26998901367188</v>
      </c>
      <c r="JA6" s="10">
        <v>227.33000183105469</v>
      </c>
      <c r="JB6" s="10">
        <v>17.530000686645511</v>
      </c>
      <c r="JC6" s="10">
        <v>30.360000610351559</v>
      </c>
      <c r="JD6" s="10">
        <v>210.77000427246091</v>
      </c>
      <c r="JE6" s="10">
        <v>52.580001831054688</v>
      </c>
      <c r="JF6" s="10">
        <v>182.1499938964844</v>
      </c>
      <c r="JG6" s="10">
        <v>84.19000244140625</v>
      </c>
      <c r="JH6" s="10">
        <v>163.94000244140619</v>
      </c>
      <c r="JI6" s="10">
        <v>119.370002746582</v>
      </c>
      <c r="JJ6" s="10">
        <v>152.57000732421881</v>
      </c>
      <c r="JK6" s="10">
        <v>63.189998626708977</v>
      </c>
      <c r="JL6" s="10">
        <v>142.55000305175781</v>
      </c>
      <c r="JM6" s="10">
        <v>30.530000686645511</v>
      </c>
      <c r="JN6" s="10">
        <v>61.276996612548828</v>
      </c>
      <c r="JO6" s="10">
        <v>34.189998626708977</v>
      </c>
      <c r="JP6" s="10">
        <v>18.45000076293945</v>
      </c>
      <c r="JQ6" s="10">
        <v>157.1199951171875</v>
      </c>
      <c r="JR6" s="10">
        <v>124.7200012207031</v>
      </c>
      <c r="JS6" s="10">
        <v>20.5</v>
      </c>
      <c r="JT6" s="10">
        <v>17.260000228881839</v>
      </c>
      <c r="JU6" s="10">
        <v>378.33999633789063</v>
      </c>
      <c r="JV6" s="10">
        <v>38.400001525878913</v>
      </c>
      <c r="JW6" s="10">
        <v>43.380001068115227</v>
      </c>
      <c r="JX6" s="10">
        <v>210.08000183105469</v>
      </c>
      <c r="JY6" s="10">
        <v>204.3642578125</v>
      </c>
      <c r="JZ6" s="10">
        <v>490.92001342773438</v>
      </c>
      <c r="KA6" s="10">
        <v>100.88999938964839</v>
      </c>
      <c r="KB6" s="10">
        <v>58.569999694824219</v>
      </c>
      <c r="KC6" s="10">
        <v>96.660003662109375</v>
      </c>
      <c r="KD6" s="10">
        <v>95.639999389648438</v>
      </c>
      <c r="KE6" s="10">
        <v>350.04998779296881</v>
      </c>
      <c r="KF6" s="10">
        <v>72.010002136230469</v>
      </c>
      <c r="KG6" s="10">
        <v>474.32998657226563</v>
      </c>
      <c r="KH6" s="10">
        <v>61.25</v>
      </c>
      <c r="KI6" s="10">
        <v>194.30999755859381</v>
      </c>
      <c r="KJ6" s="10">
        <v>309.489990234375</v>
      </c>
      <c r="KK6" s="10">
        <v>97.480003356933594</v>
      </c>
      <c r="KL6" s="10">
        <v>154.17999267578119</v>
      </c>
      <c r="KM6" s="10">
        <v>25.79000091552734</v>
      </c>
      <c r="KN6" s="10">
        <v>129.19000244140619</v>
      </c>
      <c r="KO6" s="10">
        <v>347.26998901367188</v>
      </c>
      <c r="KP6" s="10">
        <v>169.44000244140619</v>
      </c>
      <c r="KQ6" s="10">
        <v>162.00999450683591</v>
      </c>
      <c r="KR6" s="10">
        <v>357.54000854492188</v>
      </c>
      <c r="KS6" s="10">
        <v>51.610000610351563</v>
      </c>
      <c r="KT6" s="10">
        <v>353.5</v>
      </c>
      <c r="KU6" s="10">
        <v>41.619998931884773</v>
      </c>
      <c r="KV6" s="10">
        <v>72.970001220703125</v>
      </c>
      <c r="KW6" s="10">
        <v>262.72000122070313</v>
      </c>
      <c r="KX6" s="10">
        <v>351.75</v>
      </c>
      <c r="KY6" s="10">
        <v>82.080001831054688</v>
      </c>
      <c r="KZ6" s="10">
        <v>106.65000152587891</v>
      </c>
      <c r="LA6" s="10">
        <v>173.41999816894531</v>
      </c>
      <c r="LB6" s="10">
        <v>71.269996643066406</v>
      </c>
      <c r="LC6" s="10">
        <v>1417.969970703125</v>
      </c>
      <c r="LD6" s="10">
        <v>44.380001068115227</v>
      </c>
      <c r="LE6" s="10">
        <v>80.779998779296875</v>
      </c>
      <c r="LF6" s="10">
        <v>57.340000152587891</v>
      </c>
      <c r="LG6" s="10">
        <v>246.27000427246091</v>
      </c>
      <c r="LH6" s="10">
        <v>155.58000183105469</v>
      </c>
      <c r="LI6" s="10">
        <v>135.6600036621094</v>
      </c>
      <c r="LJ6" s="10">
        <v>101.1999969482422</v>
      </c>
      <c r="LK6" s="10">
        <v>273.79998779296881</v>
      </c>
      <c r="LL6" s="10">
        <v>53.049999237060547</v>
      </c>
      <c r="LM6" s="10">
        <v>64.19000244140625</v>
      </c>
      <c r="LN6" s="10">
        <v>486.52999877929688</v>
      </c>
      <c r="LO6" s="10">
        <v>49.595001220703118</v>
      </c>
      <c r="LP6" s="10">
        <v>289.27999877929688</v>
      </c>
      <c r="LQ6" s="10">
        <v>96.19000244140625</v>
      </c>
      <c r="LR6" s="10">
        <v>54.259998321533203</v>
      </c>
      <c r="LS6" s="10">
        <v>263.35000610351563</v>
      </c>
      <c r="LT6" s="10">
        <v>515.45001220703125</v>
      </c>
      <c r="LU6" s="10">
        <v>55.549999237060547</v>
      </c>
      <c r="LV6" s="10">
        <v>64.599998474121094</v>
      </c>
      <c r="LW6" s="10">
        <v>313.48001098632813</v>
      </c>
      <c r="LX6" s="10">
        <v>44.099998474121087</v>
      </c>
      <c r="LY6" s="10">
        <v>16.920000076293949</v>
      </c>
      <c r="LZ6" s="10">
        <v>17.10000038146973</v>
      </c>
      <c r="MA6" s="10">
        <v>69.870002746582031</v>
      </c>
      <c r="MB6" s="10">
        <v>118.5800018310547</v>
      </c>
      <c r="MC6" s="10">
        <v>26.829999923706051</v>
      </c>
      <c r="MD6" s="10">
        <v>219.46000671386719</v>
      </c>
      <c r="ME6" s="10">
        <v>225.4100036621094</v>
      </c>
      <c r="MF6" s="10">
        <v>94.419998168945313</v>
      </c>
      <c r="MG6" s="10">
        <v>462.54998779296881</v>
      </c>
      <c r="MH6" s="10">
        <v>15.14000034332275</v>
      </c>
      <c r="MI6" s="10">
        <v>33.020000457763672</v>
      </c>
      <c r="MJ6" s="10">
        <v>170.74000549316409</v>
      </c>
      <c r="MK6" s="10">
        <v>226.97999572753909</v>
      </c>
      <c r="ML6" s="10">
        <v>5138.91015625</v>
      </c>
      <c r="MM6" s="10">
        <v>178.8699951171875</v>
      </c>
      <c r="MN6" s="10">
        <v>824.219970703125</v>
      </c>
      <c r="MO6" s="10">
        <v>59.709999084472663</v>
      </c>
      <c r="MP6" s="10">
        <v>338.6099853515625</v>
      </c>
      <c r="MQ6" s="10">
        <v>91.470001220703125</v>
      </c>
      <c r="MR6" s="10">
        <v>78.230003356933594</v>
      </c>
      <c r="MS6" s="10">
        <v>66.160003662109375</v>
      </c>
      <c r="MT6" s="10">
        <v>86.339996337890625</v>
      </c>
      <c r="MU6" s="10">
        <v>85.230003356933594</v>
      </c>
      <c r="MV6" s="10">
        <v>73.050003051757813</v>
      </c>
      <c r="MW6" s="10">
        <v>138.69999694824219</v>
      </c>
      <c r="MX6" s="10">
        <v>186.94000244140619</v>
      </c>
      <c r="MY6" s="10">
        <v>21.719999313354489</v>
      </c>
      <c r="MZ6" s="10">
        <v>353.35000610351563</v>
      </c>
      <c r="NA6" s="10">
        <v>110.6999969482422</v>
      </c>
      <c r="NB6" s="10">
        <v>284.510009765625</v>
      </c>
      <c r="NC6" s="10">
        <v>73.819999694824219</v>
      </c>
      <c r="ND6" s="10">
        <v>55.360000610351563</v>
      </c>
      <c r="NE6" s="10">
        <v>171.33000183105469</v>
      </c>
      <c r="NF6" s="10">
        <v>40.180000305175781</v>
      </c>
      <c r="NG6" s="10">
        <v>15.60999965667725</v>
      </c>
      <c r="NH6" s="10">
        <v>97.510002136230469</v>
      </c>
      <c r="NI6" s="10">
        <v>107.2399978637695</v>
      </c>
      <c r="NJ6" s="10">
        <v>73.290000915527344</v>
      </c>
      <c r="NK6" s="10">
        <v>205.42999267578119</v>
      </c>
      <c r="NL6" s="10">
        <v>155.21000671386719</v>
      </c>
      <c r="NM6" s="10">
        <v>348.54998779296881</v>
      </c>
      <c r="NN6" s="10">
        <v>133.22999572753909</v>
      </c>
      <c r="NO6" s="10">
        <v>26.680000305175781</v>
      </c>
      <c r="NP6" s="10">
        <v>91.230003356933594</v>
      </c>
      <c r="NQ6" s="10">
        <v>142.22999572753909</v>
      </c>
      <c r="NR6" s="10">
        <v>121.129997253418</v>
      </c>
      <c r="NS6" s="10">
        <v>99.949996948242188</v>
      </c>
      <c r="NT6" s="10">
        <v>58.540000915527337</v>
      </c>
      <c r="NU6" s="10">
        <v>123.80999755859381</v>
      </c>
      <c r="NV6" s="10">
        <v>295.70001220703119</v>
      </c>
      <c r="NW6" s="10">
        <v>54.220001220703118</v>
      </c>
      <c r="NX6" s="10">
        <v>100.4499969482422</v>
      </c>
      <c r="NY6" s="10">
        <v>159.6499938964844</v>
      </c>
      <c r="NZ6" s="10">
        <v>123.6800003051758</v>
      </c>
      <c r="OA6" s="10">
        <v>139</v>
      </c>
      <c r="OB6" s="10">
        <v>116.879997253418</v>
      </c>
      <c r="OC6" s="10">
        <v>106.8199996948242</v>
      </c>
      <c r="OD6" s="10">
        <v>98.040000915527344</v>
      </c>
      <c r="OE6" s="10">
        <v>63.520000457763672</v>
      </c>
      <c r="OF6" s="10">
        <v>62.759998321533203</v>
      </c>
      <c r="OG6" s="10">
        <v>23.360000610351559</v>
      </c>
      <c r="OH6" s="10">
        <v>128.6199951171875</v>
      </c>
      <c r="OI6" s="10">
        <v>214.11000061035159</v>
      </c>
      <c r="OJ6" s="10">
        <v>123.5</v>
      </c>
      <c r="OK6" s="10">
        <v>80.839996337890625</v>
      </c>
      <c r="OL6" s="10">
        <v>292.64999389648438</v>
      </c>
      <c r="OM6" s="10">
        <v>34.549999237060547</v>
      </c>
      <c r="ON6" s="10">
        <v>421.20001220703119</v>
      </c>
      <c r="OO6" s="10">
        <v>110.6699981689453</v>
      </c>
      <c r="OP6" s="10">
        <v>71.5</v>
      </c>
      <c r="OQ6" s="10">
        <v>337.77999877929688</v>
      </c>
      <c r="OR6" s="10">
        <v>167.3500061035156</v>
      </c>
      <c r="OS6" s="10">
        <v>254.9100036621094</v>
      </c>
      <c r="OT6" s="10">
        <v>54.889999389648438</v>
      </c>
      <c r="OU6" s="10">
        <v>64.120002746582031</v>
      </c>
      <c r="OV6" s="10">
        <v>73.930000305175781</v>
      </c>
      <c r="OW6" s="10">
        <v>428.94000244140619</v>
      </c>
      <c r="OX6" s="10">
        <v>219.00999450683591</v>
      </c>
      <c r="OY6" s="10">
        <v>121.25</v>
      </c>
      <c r="OZ6" s="10">
        <v>111.8399963378906</v>
      </c>
      <c r="PA6" s="10">
        <v>145.25</v>
      </c>
      <c r="PB6" s="10">
        <v>247.28999328613281</v>
      </c>
      <c r="PC6" s="10">
        <v>62.319999694824219</v>
      </c>
      <c r="PD6" s="10">
        <v>33.650001525878913</v>
      </c>
      <c r="PE6" s="10">
        <v>83.730003356933594</v>
      </c>
      <c r="PF6" s="10">
        <v>101.4300003051758</v>
      </c>
      <c r="PG6" s="10">
        <v>89.510002136230469</v>
      </c>
      <c r="PH6" s="10">
        <v>129.1199951171875</v>
      </c>
      <c r="PI6" s="10">
        <v>188.52000427246091</v>
      </c>
      <c r="PJ6" s="10">
        <v>259.97000122070313</v>
      </c>
      <c r="PK6" s="10">
        <v>102</v>
      </c>
      <c r="PL6" s="10">
        <v>361.01998901367188</v>
      </c>
      <c r="PM6" s="10">
        <v>75.089996337890625</v>
      </c>
      <c r="PN6" s="10">
        <v>141.28999328613281</v>
      </c>
      <c r="PO6" s="10">
        <v>111.129997253418</v>
      </c>
      <c r="PP6" s="10">
        <v>108.6999969482422</v>
      </c>
      <c r="PQ6" s="10">
        <v>43.25</v>
      </c>
      <c r="PR6" s="10">
        <v>76.290000915527344</v>
      </c>
      <c r="PS6" s="10">
        <v>162.3999938964844</v>
      </c>
      <c r="PT6" s="10">
        <v>127.8300018310547</v>
      </c>
      <c r="PU6" s="10">
        <v>428.39999389648438</v>
      </c>
      <c r="PV6" s="10">
        <v>233.6600036621094</v>
      </c>
      <c r="PW6" s="10">
        <v>101.379997253418</v>
      </c>
      <c r="PX6" s="10">
        <v>202.77000427246091</v>
      </c>
      <c r="PY6" s="10">
        <v>172.16999816894531</v>
      </c>
      <c r="PZ6" s="10">
        <v>73.19000244140625</v>
      </c>
      <c r="QA6" s="10">
        <v>538.52001953125</v>
      </c>
      <c r="QB6" s="10">
        <v>76.860000610351563</v>
      </c>
      <c r="QC6" s="10">
        <v>225.75999450683591</v>
      </c>
      <c r="QD6" s="10">
        <v>185.6600036621094</v>
      </c>
      <c r="QE6" s="10">
        <v>750.94000244140625</v>
      </c>
      <c r="QF6" s="10">
        <v>184.05000305175781</v>
      </c>
      <c r="QG6" s="10">
        <v>52.330001831054688</v>
      </c>
      <c r="QH6" s="10">
        <v>46.700000762939453</v>
      </c>
      <c r="QI6" s="10">
        <v>320.10000610351563</v>
      </c>
      <c r="QJ6" s="10">
        <v>59.290000915527337</v>
      </c>
      <c r="QK6" s="10">
        <v>47.310001373291023</v>
      </c>
      <c r="QL6" s="10">
        <v>32.990001678466797</v>
      </c>
      <c r="QM6" s="10">
        <v>41.650001525878913</v>
      </c>
      <c r="QN6" s="10">
        <v>516.02001953125</v>
      </c>
      <c r="QO6" s="10">
        <v>207.99000549316409</v>
      </c>
      <c r="QP6" s="10">
        <v>52.389999389648438</v>
      </c>
      <c r="QQ6" s="10">
        <v>183.08000183105469</v>
      </c>
      <c r="QR6" s="10">
        <v>467.79998779296881</v>
      </c>
      <c r="QS6" s="10">
        <v>475.22000122070313</v>
      </c>
      <c r="QT6" s="10">
        <v>132.08000183105469</v>
      </c>
      <c r="QU6" s="10">
        <v>139.28999328613281</v>
      </c>
      <c r="QV6" s="10">
        <v>47.540000915527337</v>
      </c>
      <c r="QW6" s="10">
        <v>196.27000427246091</v>
      </c>
      <c r="QX6" s="10">
        <v>176.7200012207031</v>
      </c>
      <c r="QY6" s="10">
        <v>38.299999237060547</v>
      </c>
      <c r="QZ6" s="10">
        <v>291.23001098632813</v>
      </c>
      <c r="RA6" s="10">
        <v>25.090000152587891</v>
      </c>
      <c r="RB6" s="10">
        <v>11.310000419616699</v>
      </c>
      <c r="RC6" s="10">
        <v>33.700000762939453</v>
      </c>
      <c r="RD6" s="10">
        <v>218.36000061035159</v>
      </c>
      <c r="RE6" s="10">
        <v>179.9700012207031</v>
      </c>
      <c r="RF6" s="10">
        <v>67.25</v>
      </c>
      <c r="RG6" s="10">
        <v>104.88999938964839</v>
      </c>
      <c r="RH6" s="10">
        <v>35.200000762939453</v>
      </c>
      <c r="RI6" s="10">
        <v>46.716667175292969</v>
      </c>
      <c r="RJ6" s="10">
        <v>98.540000915527344</v>
      </c>
      <c r="RK6" s="10">
        <v>15.02000045776367</v>
      </c>
      <c r="RL6" s="10">
        <v>148.83000183105469</v>
      </c>
      <c r="RM6" s="10">
        <v>309.25</v>
      </c>
      <c r="RN6" s="10">
        <v>86.569999694824219</v>
      </c>
      <c r="RO6" s="10">
        <v>46.680000305175781</v>
      </c>
      <c r="RP6" s="10">
        <v>73.089996337890625</v>
      </c>
      <c r="RQ6" s="10">
        <v>318.27999877929688</v>
      </c>
      <c r="RR6" s="10">
        <v>38.119998931884773</v>
      </c>
      <c r="RS6" s="10">
        <v>31.940000534057621</v>
      </c>
      <c r="RT6" s="10">
        <v>31.680000305175781</v>
      </c>
      <c r="RU6" s="10">
        <v>29.940000534057621</v>
      </c>
      <c r="RV6" s="10">
        <v>232.38999938964841</v>
      </c>
      <c r="RW6" s="10">
        <v>671.010009765625</v>
      </c>
      <c r="RX6" s="10">
        <v>112.2200012207031</v>
      </c>
      <c r="RY6" s="10">
        <v>63.270000457763672</v>
      </c>
      <c r="RZ6" s="10">
        <v>101.0899963378906</v>
      </c>
      <c r="SA6" s="10">
        <v>126.1999969482422</v>
      </c>
      <c r="SB6" s="10">
        <v>302.33999633789063</v>
      </c>
      <c r="SC6" s="10">
        <v>122.0800018310547</v>
      </c>
      <c r="SD6" s="10">
        <v>167.57000732421881</v>
      </c>
    </row>
    <row r="7" spans="1:498" x14ac:dyDescent="0.25">
      <c r="A7" s="13">
        <v>45017</v>
      </c>
      <c r="B7" s="10">
        <v>104.5699996948242</v>
      </c>
      <c r="C7" s="10">
        <v>68.849998474121094</v>
      </c>
      <c r="D7" s="10">
        <v>101.5899963378906</v>
      </c>
      <c r="E7" s="10">
        <v>160.41999816894531</v>
      </c>
      <c r="F7" s="10">
        <v>285.83999633789063</v>
      </c>
      <c r="G7" s="10">
        <v>380.07998657226563</v>
      </c>
      <c r="H7" s="10">
        <v>96.55999755859375</v>
      </c>
      <c r="I7" s="10">
        <v>23.819999694824219</v>
      </c>
      <c r="J7" s="10">
        <v>64.660003662109375</v>
      </c>
      <c r="K7" s="10">
        <v>137.86000061035159</v>
      </c>
      <c r="L7" s="10">
        <v>289.04000854492188</v>
      </c>
      <c r="M7" s="10">
        <v>121.4599990844727</v>
      </c>
      <c r="N7" s="10">
        <v>77.879997253417969</v>
      </c>
      <c r="O7" s="10">
        <v>218.42999267578119</v>
      </c>
      <c r="P7" s="10">
        <v>124.36000061035161</v>
      </c>
      <c r="Q7" s="10">
        <v>327.35000610351563</v>
      </c>
      <c r="R7" s="10">
        <v>106.05999755859381</v>
      </c>
      <c r="S7" s="10">
        <v>52.720001220703118</v>
      </c>
      <c r="T7" s="10">
        <v>114.25</v>
      </c>
      <c r="U7" s="10">
        <v>104.36000061035161</v>
      </c>
      <c r="V7" s="10">
        <v>104.9100036621094</v>
      </c>
      <c r="W7" s="10">
        <v>44.979999542236328</v>
      </c>
      <c r="X7" s="10">
        <v>102.4100036621094</v>
      </c>
      <c r="Y7" s="10">
        <v>11.30000019073486</v>
      </c>
      <c r="Z7" s="10">
        <v>86.160003662109375</v>
      </c>
      <c r="AA7" s="10">
        <v>14.420000076293951</v>
      </c>
      <c r="AB7" s="10">
        <v>90.900001525878906</v>
      </c>
      <c r="AC7" s="10">
        <v>163.7799987792969</v>
      </c>
      <c r="AD7" s="10">
        <v>50.419998168945313</v>
      </c>
      <c r="AE7" s="10">
        <v>201.1000061035156</v>
      </c>
      <c r="AF7" s="10">
        <v>145.44000244140619</v>
      </c>
      <c r="AG7" s="10">
        <v>306.26998901367188</v>
      </c>
      <c r="AH7" s="10">
        <v>144.25</v>
      </c>
      <c r="AI7" s="10">
        <v>244.44000244140619</v>
      </c>
      <c r="AJ7" s="10">
        <v>81.220001220703125</v>
      </c>
      <c r="AK7" s="10">
        <v>196.2799987792969</v>
      </c>
      <c r="AL7" s="10">
        <v>329.39999389648438</v>
      </c>
      <c r="AM7" s="10">
        <v>317.07998657226563</v>
      </c>
      <c r="AN7" s="10">
        <v>39.200000762939453</v>
      </c>
      <c r="AO7" s="10">
        <v>166.16999816894531</v>
      </c>
      <c r="AP7" s="10">
        <v>122.3199996948242</v>
      </c>
      <c r="AQ7" s="10">
        <v>110.4899978637695</v>
      </c>
      <c r="AR7" s="10">
        <v>68.610000610351563</v>
      </c>
      <c r="AS7" s="10">
        <v>80.419998168945313</v>
      </c>
      <c r="AT7" s="10">
        <v>167.74000549316409</v>
      </c>
      <c r="AU7" s="10">
        <v>193.25999450683591</v>
      </c>
      <c r="AV7" s="10">
        <v>118.8000030517578</v>
      </c>
      <c r="AW7" s="10">
        <v>19.389999389648441</v>
      </c>
      <c r="AX7" s="10">
        <v>111.11000061035161</v>
      </c>
      <c r="AY7" s="10">
        <v>207.58000183105469</v>
      </c>
      <c r="AZ7" s="10">
        <v>216.80999755859381</v>
      </c>
      <c r="BA7" s="10">
        <v>2511.5400390625</v>
      </c>
      <c r="BB7" s="10">
        <v>167.08000183105469</v>
      </c>
      <c r="BC7" s="10">
        <v>178.36000061035159</v>
      </c>
      <c r="BD7" s="10">
        <v>227.38999938964841</v>
      </c>
      <c r="BE7" s="10">
        <v>29.909999847412109</v>
      </c>
      <c r="BF7" s="10">
        <v>55.080001831054688</v>
      </c>
      <c r="BG7" s="10">
        <v>28.590000152587891</v>
      </c>
      <c r="BH7" s="10">
        <v>45.150001525878913</v>
      </c>
      <c r="BI7" s="10">
        <v>36.5</v>
      </c>
      <c r="BJ7" s="10">
        <v>39.979999542236328</v>
      </c>
      <c r="BK7" s="10">
        <v>246.94999694824219</v>
      </c>
      <c r="BL7" s="10">
        <v>310.30999755859381</v>
      </c>
      <c r="BM7" s="10">
        <v>78.510002136230469</v>
      </c>
      <c r="BN7" s="10">
        <v>464.82000732421881</v>
      </c>
      <c r="BO7" s="10">
        <v>73.760002136230469</v>
      </c>
      <c r="BP7" s="10">
        <v>277.33999633789063</v>
      </c>
      <c r="BQ7" s="10">
        <v>666.40997314453125</v>
      </c>
      <c r="BR7" s="10">
        <v>84.959999084472656</v>
      </c>
      <c r="BS7" s="10">
        <v>215.38999938964841</v>
      </c>
      <c r="BT7" s="10">
        <v>2665.18994140625</v>
      </c>
      <c r="BU7" s="10">
        <v>42.869716644287109</v>
      </c>
      <c r="BV7" s="10">
        <v>53.630001068115227</v>
      </c>
      <c r="BW7" s="10">
        <v>49.720001220703118</v>
      </c>
      <c r="BX7" s="10">
        <v>69.69000244140625</v>
      </c>
      <c r="BY7" s="10">
        <v>642.469970703125</v>
      </c>
      <c r="BZ7" s="10">
        <v>145.19999694824219</v>
      </c>
      <c r="CA7" s="10">
        <v>57.650001525878913</v>
      </c>
      <c r="CB7" s="10">
        <v>64.080001831054688</v>
      </c>
      <c r="CC7" s="10">
        <v>90.160003662109375</v>
      </c>
      <c r="CD7" s="10">
        <v>96.660003662109375</v>
      </c>
      <c r="CE7" s="10">
        <v>211.38999938964841</v>
      </c>
      <c r="CF7" s="10">
        <v>49.279998779296882</v>
      </c>
      <c r="CG7" s="10">
        <v>103.8000030517578</v>
      </c>
      <c r="CH7" s="10">
        <v>55.150001525878913</v>
      </c>
      <c r="CI7" s="10">
        <v>96.319999694824219</v>
      </c>
      <c r="CJ7" s="10">
        <v>76.709999084472656</v>
      </c>
      <c r="CK7" s="10">
        <v>64.580001831054688</v>
      </c>
      <c r="CL7" s="10">
        <v>9.9700002670288086</v>
      </c>
      <c r="CM7" s="10">
        <v>45.689998626708977</v>
      </c>
      <c r="CN7" s="10">
        <v>62.919998168945313</v>
      </c>
      <c r="CO7" s="10">
        <v>229.8699951171875</v>
      </c>
      <c r="CP7" s="10">
        <v>134.55999755859381</v>
      </c>
      <c r="CQ7" s="10">
        <v>72.769996643066406</v>
      </c>
      <c r="CR7" s="10">
        <v>193.69000244140619</v>
      </c>
      <c r="CS7" s="10">
        <v>109.0899963378906</v>
      </c>
      <c r="CT7" s="10">
        <v>162.2799987792969</v>
      </c>
      <c r="CU7" s="10">
        <v>64.669998168945313</v>
      </c>
      <c r="CV7" s="10">
        <v>29.35000038146973</v>
      </c>
      <c r="CW7" s="10">
        <v>73.669998168945313</v>
      </c>
      <c r="CX7" s="10">
        <v>97.010002136230469</v>
      </c>
      <c r="CY7" s="10">
        <v>200.25999450683591</v>
      </c>
      <c r="CZ7" s="10">
        <v>51.569999694824219</v>
      </c>
      <c r="DA7" s="10">
        <v>356.20999145507813</v>
      </c>
      <c r="DB7" s="10">
        <v>169.94999694824219</v>
      </c>
      <c r="DC7" s="10">
        <v>1717.72998046875</v>
      </c>
      <c r="DD7" s="10">
        <v>196.67999267578119</v>
      </c>
      <c r="DE7" s="10">
        <v>88.870002746582031</v>
      </c>
      <c r="DF7" s="10">
        <v>262</v>
      </c>
      <c r="DG7" s="10">
        <v>112.4300003051758</v>
      </c>
      <c r="DH7" s="10">
        <v>460.8599853515625</v>
      </c>
      <c r="DI7" s="10">
        <v>52.310001373291023</v>
      </c>
      <c r="DJ7" s="10">
        <v>46.709999084472663</v>
      </c>
      <c r="DK7" s="10">
        <v>30.20000076293945</v>
      </c>
      <c r="DL7" s="10">
        <v>156.75</v>
      </c>
      <c r="DM7" s="10">
        <v>190.30999755859381</v>
      </c>
      <c r="DN7" s="10">
        <v>61.040000915527337</v>
      </c>
      <c r="DO7" s="10">
        <v>62.400001525878913</v>
      </c>
      <c r="DP7" s="10">
        <v>61.369998931884773</v>
      </c>
      <c r="DQ7" s="10">
        <v>75.360000610351563</v>
      </c>
      <c r="DR7" s="10">
        <v>38.009998321533203</v>
      </c>
      <c r="DS7" s="10">
        <v>42.200000762939453</v>
      </c>
      <c r="DT7" s="10">
        <v>37.439998626708977</v>
      </c>
      <c r="DU7" s="10">
        <v>108.4199981689453</v>
      </c>
      <c r="DV7" s="10">
        <v>95.089996337890625</v>
      </c>
      <c r="DW7" s="10">
        <v>225.41999816894531</v>
      </c>
      <c r="DX7" s="10">
        <v>76.620002746582031</v>
      </c>
      <c r="DY7" s="10">
        <v>92.095001220703125</v>
      </c>
      <c r="DZ7" s="10">
        <v>37.740001678466797</v>
      </c>
      <c r="EA7" s="10">
        <v>34.950000762939453</v>
      </c>
      <c r="EB7" s="10">
        <v>61</v>
      </c>
      <c r="EC7" s="10">
        <v>68.769996643066406</v>
      </c>
      <c r="ED7" s="10">
        <v>497.02999877929688</v>
      </c>
      <c r="EE7" s="10">
        <v>25.120000839233398</v>
      </c>
      <c r="EF7" s="10">
        <v>132.2200012207031</v>
      </c>
      <c r="EG7" s="10">
        <v>29.85000038146973</v>
      </c>
      <c r="EH7" s="10">
        <v>238.63999938964841</v>
      </c>
      <c r="EI7" s="10">
        <v>76.089996337890625</v>
      </c>
      <c r="EJ7" s="10">
        <v>221.71099853515619</v>
      </c>
      <c r="EK7" s="10">
        <v>153.88999938964841</v>
      </c>
      <c r="EL7" s="10">
        <v>81.69000244140625</v>
      </c>
      <c r="EM7" s="10">
        <v>73.220001220703125</v>
      </c>
      <c r="EN7" s="10">
        <v>453.54000854492188</v>
      </c>
      <c r="EO7" s="10">
        <v>414.989990234375</v>
      </c>
      <c r="EP7" s="10">
        <v>34.389999389648438</v>
      </c>
      <c r="EQ7" s="10">
        <v>39.110000610351563</v>
      </c>
      <c r="ER7" s="10">
        <v>53.310001373291023</v>
      </c>
      <c r="ES7" s="10">
        <v>115.2399978637695</v>
      </c>
      <c r="ET7" s="10">
        <v>144.42999267578119</v>
      </c>
      <c r="EU7" s="10">
        <v>93.319999694824219</v>
      </c>
      <c r="EV7" s="10">
        <v>98.819999694824219</v>
      </c>
      <c r="EW7" s="10">
        <v>211.8699951171875</v>
      </c>
      <c r="EX7" s="10">
        <v>148.00999450683591</v>
      </c>
      <c r="EY7" s="10">
        <v>55.569999694824219</v>
      </c>
      <c r="EZ7" s="10">
        <v>332.51998901367188</v>
      </c>
      <c r="FA7" s="10">
        <v>150.52000427246091</v>
      </c>
      <c r="FB7" s="10">
        <v>55.330001831054688</v>
      </c>
      <c r="FC7" s="10">
        <v>98.120002746582031</v>
      </c>
      <c r="FD7" s="10">
        <v>108.9899978637695</v>
      </c>
      <c r="FE7" s="10">
        <v>95.089996337890625</v>
      </c>
      <c r="FF7" s="10">
        <v>71.889999389648438</v>
      </c>
      <c r="FG7" s="10">
        <v>84.410003662109375</v>
      </c>
      <c r="FH7" s="10">
        <v>170.53999328613281</v>
      </c>
      <c r="FI7" s="10">
        <v>44.279998779296882</v>
      </c>
      <c r="FJ7" s="10">
        <v>166.02000427246091</v>
      </c>
      <c r="FK7" s="10">
        <v>70.540000915527344</v>
      </c>
      <c r="FL7" s="10">
        <v>82.169998168945313</v>
      </c>
      <c r="FM7" s="10">
        <v>121.34999847412109</v>
      </c>
      <c r="FN7" s="10">
        <v>476.489990234375</v>
      </c>
      <c r="FO7" s="10">
        <v>350.739990234375</v>
      </c>
      <c r="FP7" s="10">
        <v>87.239997863769531</v>
      </c>
      <c r="FQ7" s="10">
        <v>202.6000061035156</v>
      </c>
      <c r="FR7" s="10">
        <v>107.1800003051758</v>
      </c>
      <c r="FS7" s="10">
        <v>121.4100036621094</v>
      </c>
      <c r="FT7" s="10">
        <v>297.22000122070313</v>
      </c>
      <c r="FU7" s="10">
        <v>31.79999923706055</v>
      </c>
      <c r="FV7" s="10">
        <v>202.24000549316409</v>
      </c>
      <c r="FW7" s="10">
        <v>709.95001220703125</v>
      </c>
      <c r="FX7" s="10">
        <v>59.630001068115227</v>
      </c>
      <c r="FY7" s="10">
        <v>208.3399963378906</v>
      </c>
      <c r="FZ7" s="10">
        <v>246.78999328613281</v>
      </c>
      <c r="GA7" s="10">
        <v>108.25</v>
      </c>
      <c r="GB7" s="10">
        <v>361.95001220703119</v>
      </c>
      <c r="GC7" s="10">
        <v>60.450000762939453</v>
      </c>
      <c r="GD7" s="10">
        <v>77.410003662109375</v>
      </c>
      <c r="GE7" s="10">
        <v>41.810001373291023</v>
      </c>
      <c r="GF7" s="10">
        <v>95.069999694824219</v>
      </c>
      <c r="GG7" s="10">
        <v>108.3199996948242</v>
      </c>
      <c r="GH7" s="10">
        <v>154.50999450683591</v>
      </c>
      <c r="GI7" s="10">
        <v>116.129997253418</v>
      </c>
      <c r="GJ7" s="10">
        <v>144.66999816894531</v>
      </c>
      <c r="GK7" s="10">
        <v>416.05999755859381</v>
      </c>
      <c r="GL7" s="10">
        <v>689.84002685546875</v>
      </c>
      <c r="GM7" s="10">
        <v>53.830001831054688</v>
      </c>
      <c r="GN7" s="10">
        <v>98.730003356933594</v>
      </c>
      <c r="GO7" s="10">
        <v>228.8399963378906</v>
      </c>
      <c r="GP7" s="10">
        <v>54.090000152587891</v>
      </c>
      <c r="GQ7" s="10">
        <v>26.39999961853027</v>
      </c>
      <c r="GR7" s="10">
        <v>208.49000549316409</v>
      </c>
      <c r="GS7" s="10">
        <v>39.799999237060547</v>
      </c>
      <c r="GT7" s="10">
        <v>112.8300018310547</v>
      </c>
      <c r="GU7" s="10">
        <v>211.57000732421881</v>
      </c>
      <c r="GV7" s="10">
        <v>122.7099990844727</v>
      </c>
      <c r="GW7" s="10">
        <v>12.680000305175779</v>
      </c>
      <c r="GX7" s="10">
        <v>66.30999755859375</v>
      </c>
      <c r="GY7" s="10">
        <v>67.800003051757813</v>
      </c>
      <c r="GZ7" s="10">
        <v>34.180000305175781</v>
      </c>
      <c r="HA7" s="10">
        <v>31.370000839233398</v>
      </c>
      <c r="HB7" s="10">
        <v>26.930000305175781</v>
      </c>
      <c r="HC7" s="10">
        <v>41.200000762939453</v>
      </c>
      <c r="HD7" s="10">
        <v>100.7200012207031</v>
      </c>
      <c r="HE7" s="10">
        <v>324.70999145507813</v>
      </c>
      <c r="HF7" s="10">
        <v>81.80999755859375</v>
      </c>
      <c r="HG7" s="10">
        <v>17.159999847412109</v>
      </c>
      <c r="HH7" s="10">
        <v>108.5299987792969</v>
      </c>
      <c r="HI7" s="10">
        <v>232.36000061035159</v>
      </c>
      <c r="HJ7" s="10">
        <v>96.919998168945313</v>
      </c>
      <c r="HK7" s="10">
        <v>85.919998168945313</v>
      </c>
      <c r="HL7" s="10">
        <v>36.270000457763672</v>
      </c>
      <c r="HM7" s="10">
        <v>168.2799987792969</v>
      </c>
      <c r="HN7" s="10">
        <v>83.239997863769531</v>
      </c>
      <c r="HO7" s="10">
        <v>105.25</v>
      </c>
      <c r="HP7" s="10">
        <v>109.4700012207031</v>
      </c>
      <c r="HQ7" s="10">
        <v>326.51998901367188</v>
      </c>
      <c r="HR7" s="10">
        <v>34.099998474121087</v>
      </c>
      <c r="HS7" s="10">
        <v>70.120002746582031</v>
      </c>
      <c r="HT7" s="10">
        <v>52.889999389648438</v>
      </c>
      <c r="HU7" s="10">
        <v>264.16000366210938</v>
      </c>
      <c r="HV7" s="10">
        <v>21.719999313354489</v>
      </c>
      <c r="HW7" s="10">
        <v>81.830001831054688</v>
      </c>
      <c r="HX7" s="10">
        <v>257.16000366210938</v>
      </c>
      <c r="HY7" s="10">
        <v>143.50999450683591</v>
      </c>
      <c r="HZ7" s="10">
        <v>16.329999923706051</v>
      </c>
      <c r="IA7" s="10">
        <v>139.57000732421881</v>
      </c>
      <c r="IB7" s="10">
        <v>80.580001831054688</v>
      </c>
      <c r="IC7" s="10">
        <v>297.73001098632813</v>
      </c>
      <c r="ID7" s="10">
        <v>193.2799987792969</v>
      </c>
      <c r="IE7" s="10">
        <v>40.419998168945313</v>
      </c>
      <c r="IF7" s="10">
        <v>16.280000686645511</v>
      </c>
      <c r="IG7" s="10">
        <v>42.970001220703118</v>
      </c>
      <c r="IH7" s="10">
        <v>29.889999389648441</v>
      </c>
      <c r="II7" s="10">
        <v>244.3399963378906</v>
      </c>
      <c r="IJ7" s="10">
        <v>510.25</v>
      </c>
      <c r="IK7" s="10">
        <v>11.170000076293951</v>
      </c>
      <c r="IL7" s="10">
        <v>209</v>
      </c>
      <c r="IM7" s="10">
        <v>132.05999755859381</v>
      </c>
      <c r="IN7" s="10">
        <v>229.22999572753909</v>
      </c>
      <c r="IO7" s="10">
        <v>489.26998901367188</v>
      </c>
      <c r="IP7" s="10">
        <v>244.3800048828125</v>
      </c>
      <c r="IQ7" s="10">
        <v>230.02000427246091</v>
      </c>
      <c r="IR7" s="10">
        <v>72.660003662109375</v>
      </c>
      <c r="IS7" s="10">
        <v>58.290000915527337</v>
      </c>
      <c r="IT7" s="10">
        <v>318.83999633789063</v>
      </c>
      <c r="IU7" s="10">
        <v>32.889999389648438</v>
      </c>
      <c r="IV7" s="10">
        <v>105.4199981689453</v>
      </c>
      <c r="IW7" s="10">
        <v>90.599998474121094</v>
      </c>
      <c r="IX7" s="10">
        <v>35.959999084472663</v>
      </c>
      <c r="IY7" s="10">
        <v>37.569999694824219</v>
      </c>
      <c r="IZ7" s="10">
        <v>440.67001342773438</v>
      </c>
      <c r="JA7" s="10">
        <v>253.5299987792969</v>
      </c>
      <c r="JB7" s="10">
        <v>16.20000076293945</v>
      </c>
      <c r="JC7" s="10">
        <v>31.190000534057621</v>
      </c>
      <c r="JD7" s="10">
        <v>199.92999267578119</v>
      </c>
      <c r="JE7" s="10">
        <v>53.009998321533203</v>
      </c>
      <c r="JF7" s="10">
        <v>173.41999816894531</v>
      </c>
      <c r="JG7" s="10">
        <v>87.459999084472656</v>
      </c>
      <c r="JH7" s="10">
        <v>150.5899963378906</v>
      </c>
      <c r="JI7" s="10">
        <v>117.620002746582</v>
      </c>
      <c r="JJ7" s="10">
        <v>156.8500061035156</v>
      </c>
      <c r="JK7" s="10">
        <v>60.400001525878913</v>
      </c>
      <c r="JL7" s="10">
        <v>130.1600036621094</v>
      </c>
      <c r="JM7" s="10">
        <v>34.430000305175781</v>
      </c>
      <c r="JN7" s="10">
        <v>63.014083862304688</v>
      </c>
      <c r="JO7" s="10">
        <v>35.389999389648438</v>
      </c>
      <c r="JP7" s="10">
        <v>12.36999988555908</v>
      </c>
      <c r="JQ7" s="10">
        <v>161.07000732421881</v>
      </c>
      <c r="JR7" s="10">
        <v>135.00999450683591</v>
      </c>
      <c r="JS7" s="10">
        <v>19.469999313354489</v>
      </c>
      <c r="JT7" s="10">
        <v>17.659999847412109</v>
      </c>
      <c r="JU7" s="10">
        <v>398.989990234375</v>
      </c>
      <c r="JV7" s="10">
        <v>38.849998474121087</v>
      </c>
      <c r="JW7" s="10">
        <v>49.939998626708977</v>
      </c>
      <c r="JX7" s="10">
        <v>198.94999694824219</v>
      </c>
      <c r="JY7" s="10">
        <v>198.01545715332031</v>
      </c>
      <c r="JZ7" s="10">
        <v>521.510009765625</v>
      </c>
      <c r="KA7" s="10">
        <v>104.2200012207031</v>
      </c>
      <c r="KB7" s="10">
        <v>58.720001220703118</v>
      </c>
      <c r="KC7" s="10">
        <v>93.199996948242188</v>
      </c>
      <c r="KD7" s="10">
        <v>105.25</v>
      </c>
      <c r="KE7" s="10">
        <v>358.10000610351563</v>
      </c>
      <c r="KF7" s="10">
        <v>69.30999755859375</v>
      </c>
      <c r="KG7" s="10">
        <v>486.6199951171875</v>
      </c>
      <c r="KH7" s="10">
        <v>57.590000152587891</v>
      </c>
      <c r="KI7" s="10">
        <v>203.99000549316409</v>
      </c>
      <c r="KJ7" s="10">
        <v>367.39999389648438</v>
      </c>
      <c r="KK7" s="10">
        <v>95.199996948242188</v>
      </c>
      <c r="KL7" s="10">
        <v>118.7399978637695</v>
      </c>
      <c r="KM7" s="10">
        <v>26.329999923706051</v>
      </c>
      <c r="KN7" s="10">
        <v>135.63999938964841</v>
      </c>
      <c r="KO7" s="10">
        <v>389.16000366210938</v>
      </c>
      <c r="KP7" s="10">
        <v>164.46000671386719</v>
      </c>
      <c r="KQ7" s="10">
        <v>168.6300048828125</v>
      </c>
      <c r="KR7" s="10">
        <v>356</v>
      </c>
      <c r="KS7" s="10">
        <v>49.909999847412109</v>
      </c>
      <c r="KT7" s="10">
        <v>366.47000122070313</v>
      </c>
      <c r="KU7" s="10">
        <v>38.450000762939453</v>
      </c>
      <c r="KV7" s="10">
        <v>84.319999694824219</v>
      </c>
      <c r="KW7" s="10">
        <v>282.1400146484375</v>
      </c>
      <c r="KX7" s="10">
        <v>363.76998901367188</v>
      </c>
      <c r="KY7" s="10">
        <v>79.669998168945313</v>
      </c>
      <c r="KZ7" s="10">
        <v>108.870002746582</v>
      </c>
      <c r="LA7" s="10">
        <v>213.07000732421881</v>
      </c>
      <c r="LB7" s="10">
        <v>57.970001220703118</v>
      </c>
      <c r="LC7" s="10">
        <v>1530.550048828125</v>
      </c>
      <c r="LD7" s="10">
        <v>44.25</v>
      </c>
      <c r="LE7" s="10">
        <v>82.709999084472656</v>
      </c>
      <c r="LF7" s="10">
        <v>59.610000610351563</v>
      </c>
      <c r="LG7" s="10">
        <v>287.23001098632813</v>
      </c>
      <c r="LH7" s="10">
        <v>149.82000732421881</v>
      </c>
      <c r="LI7" s="10">
        <v>159.47999572753909</v>
      </c>
      <c r="LJ7" s="10">
        <v>99.19000244140625</v>
      </c>
      <c r="LK7" s="10">
        <v>272</v>
      </c>
      <c r="LL7" s="10">
        <v>52.119998931884773</v>
      </c>
      <c r="LM7" s="10">
        <v>70.220001220703125</v>
      </c>
      <c r="LN7" s="10">
        <v>492.97000122070313</v>
      </c>
      <c r="LO7" s="10">
        <v>53.580001831054688</v>
      </c>
      <c r="LP7" s="10">
        <v>304.29998779296881</v>
      </c>
      <c r="LQ7" s="10">
        <v>87.160003662109375</v>
      </c>
      <c r="LR7" s="10">
        <v>46.560001373291023</v>
      </c>
      <c r="LS7" s="10">
        <v>285.42999267578119</v>
      </c>
      <c r="LT7" s="10">
        <v>557.3699951171875</v>
      </c>
      <c r="LU7" s="10">
        <v>54.400001525878913</v>
      </c>
      <c r="LV7" s="10">
        <v>64.19000244140625</v>
      </c>
      <c r="LW7" s="10">
        <v>348.27999877929688</v>
      </c>
      <c r="LX7" s="10">
        <v>49.470001220703118</v>
      </c>
      <c r="LY7" s="10">
        <v>17.420000076293949</v>
      </c>
      <c r="LZ7" s="10">
        <v>17.60000038146973</v>
      </c>
      <c r="MA7" s="10">
        <v>76.669998168945313</v>
      </c>
      <c r="MB7" s="10">
        <v>121.6699981689453</v>
      </c>
      <c r="MC7" s="10">
        <v>27.760000228881839</v>
      </c>
      <c r="MD7" s="10">
        <v>220.30999755859381</v>
      </c>
      <c r="ME7" s="10">
        <v>208.7799987792969</v>
      </c>
      <c r="MF7" s="10">
        <v>87.720001220703125</v>
      </c>
      <c r="MG7" s="10">
        <v>469.19000244140619</v>
      </c>
      <c r="MH7" s="10">
        <v>13.35000038146973</v>
      </c>
      <c r="MI7" s="10">
        <v>33.869998931884773</v>
      </c>
      <c r="MJ7" s="10">
        <v>154.44999694824219</v>
      </c>
      <c r="MK7" s="10">
        <v>279.64999389648438</v>
      </c>
      <c r="ML7" s="10">
        <v>5576.7001953125</v>
      </c>
      <c r="MM7" s="10">
        <v>181.97999572753909</v>
      </c>
      <c r="MN7" s="10">
        <v>867.95001220703125</v>
      </c>
      <c r="MO7" s="10">
        <v>65.180000305175781</v>
      </c>
      <c r="MP7" s="10">
        <v>334.20999145507813</v>
      </c>
      <c r="MQ7" s="10">
        <v>95.199996948242188</v>
      </c>
      <c r="MR7" s="10">
        <v>81.139999389648438</v>
      </c>
      <c r="MS7" s="10">
        <v>65.05999755859375</v>
      </c>
      <c r="MT7" s="10">
        <v>93.919998168945313</v>
      </c>
      <c r="MU7" s="10">
        <v>84.199996948242188</v>
      </c>
      <c r="MV7" s="10">
        <v>73.040000915527344</v>
      </c>
      <c r="MW7" s="10">
        <v>140.30000305175781</v>
      </c>
      <c r="MX7" s="10">
        <v>196.33000183105469</v>
      </c>
      <c r="MY7" s="10">
        <v>21.79000091552734</v>
      </c>
      <c r="MZ7" s="10">
        <v>339.17001342773438</v>
      </c>
      <c r="NA7" s="10">
        <v>111.3300018310547</v>
      </c>
      <c r="NB7" s="10">
        <v>298.6199951171875</v>
      </c>
      <c r="NC7" s="10">
        <v>75.290000915527344</v>
      </c>
      <c r="ND7" s="10">
        <v>55.119998931884773</v>
      </c>
      <c r="NE7" s="10">
        <v>182.5</v>
      </c>
      <c r="NF7" s="10">
        <v>41.349998474121087</v>
      </c>
      <c r="NG7" s="10">
        <v>16.190000534057621</v>
      </c>
      <c r="NH7" s="10">
        <v>97.900001525878906</v>
      </c>
      <c r="NI7" s="10">
        <v>102.9100036621094</v>
      </c>
      <c r="NJ7" s="10">
        <v>78.470001220703125</v>
      </c>
      <c r="NK7" s="10">
        <v>213.3699951171875</v>
      </c>
      <c r="NL7" s="10">
        <v>125</v>
      </c>
      <c r="NM7" s="10">
        <v>339.25</v>
      </c>
      <c r="NN7" s="10">
        <v>140.03999328613281</v>
      </c>
      <c r="NO7" s="10">
        <v>27.579999923706051</v>
      </c>
      <c r="NP7" s="10">
        <v>73.639999389648438</v>
      </c>
      <c r="NQ7" s="10">
        <v>145.1000061035156</v>
      </c>
      <c r="NR7" s="10">
        <v>123.76999664306641</v>
      </c>
      <c r="NS7" s="10">
        <v>82.430000305175781</v>
      </c>
      <c r="NT7" s="10">
        <v>61.310001373291023</v>
      </c>
      <c r="NU7" s="10">
        <v>128.07000732421881</v>
      </c>
      <c r="NV7" s="10">
        <v>307.70001220703119</v>
      </c>
      <c r="NW7" s="10">
        <v>59</v>
      </c>
      <c r="NX7" s="10">
        <v>100.870002746582</v>
      </c>
      <c r="NY7" s="10">
        <v>165.78999328613281</v>
      </c>
      <c r="NZ7" s="10">
        <v>124.7399978637695</v>
      </c>
      <c r="OA7" s="10">
        <v>142.66999816894531</v>
      </c>
      <c r="OB7" s="10">
        <v>117.51999664306641</v>
      </c>
      <c r="OC7" s="10">
        <v>92.099998474121094</v>
      </c>
      <c r="OD7" s="10">
        <v>100.5800018310547</v>
      </c>
      <c r="OE7" s="10">
        <v>62.869998931884773</v>
      </c>
      <c r="OF7" s="10">
        <v>61.25</v>
      </c>
      <c r="OG7" s="10">
        <v>18.579999923706051</v>
      </c>
      <c r="OH7" s="10">
        <v>136.1300048828125</v>
      </c>
      <c r="OI7" s="10">
        <v>219.16999816894531</v>
      </c>
      <c r="OJ7" s="10">
        <v>131.3699951171875</v>
      </c>
      <c r="OK7" s="10">
        <v>79.620002746582031</v>
      </c>
      <c r="OL7" s="10">
        <v>291.29000854492188</v>
      </c>
      <c r="OM7" s="10">
        <v>37.450000762939453</v>
      </c>
      <c r="ON7" s="10">
        <v>440.79000854492188</v>
      </c>
      <c r="OO7" s="10">
        <v>108.629997253418</v>
      </c>
      <c r="OP7" s="10">
        <v>64.25</v>
      </c>
      <c r="OQ7" s="10">
        <v>346.26998901367188</v>
      </c>
      <c r="OR7" s="10">
        <v>196.49000549316409</v>
      </c>
      <c r="OS7" s="10">
        <v>255.0299987792969</v>
      </c>
      <c r="OT7" s="10">
        <v>52.330001831054688</v>
      </c>
      <c r="OU7" s="10">
        <v>65.75</v>
      </c>
      <c r="OV7" s="10">
        <v>74.790000915527344</v>
      </c>
      <c r="OW7" s="10">
        <v>464.489990234375</v>
      </c>
      <c r="OX7" s="10">
        <v>226.63999938964841</v>
      </c>
      <c r="OY7" s="10">
        <v>112.4199981689453</v>
      </c>
      <c r="OZ7" s="10">
        <v>117.38999938964839</v>
      </c>
      <c r="PA7" s="10">
        <v>157.63999938964841</v>
      </c>
      <c r="PB7" s="10">
        <v>246.63999938964841</v>
      </c>
      <c r="PC7" s="10">
        <v>68.970001220703125</v>
      </c>
      <c r="PD7" s="10">
        <v>31.690000534057621</v>
      </c>
      <c r="PE7" s="10">
        <v>79.44000244140625</v>
      </c>
      <c r="PF7" s="10">
        <v>104.84999847412109</v>
      </c>
      <c r="PG7" s="10">
        <v>75.459999084472656</v>
      </c>
      <c r="PH7" s="10">
        <v>113.1699981689453</v>
      </c>
      <c r="PI7" s="10">
        <v>190.52000427246091</v>
      </c>
      <c r="PJ7" s="10">
        <v>287.55999755859381</v>
      </c>
      <c r="PK7" s="10">
        <v>112.7200012207031</v>
      </c>
      <c r="PL7" s="10">
        <v>388.94000244140619</v>
      </c>
      <c r="PM7" s="10">
        <v>78.160003662109375</v>
      </c>
      <c r="PN7" s="10">
        <v>146.75999450683591</v>
      </c>
      <c r="PO7" s="10">
        <v>112.34999847412109</v>
      </c>
      <c r="PP7" s="10">
        <v>118.69000244140619</v>
      </c>
      <c r="PQ7" s="10">
        <v>42.889999389648438</v>
      </c>
      <c r="PR7" s="10">
        <v>75.410003662109375</v>
      </c>
      <c r="PS7" s="10">
        <v>166.05999755859381</v>
      </c>
      <c r="PT7" s="10">
        <v>130.88999938964841</v>
      </c>
      <c r="PU7" s="10">
        <v>445.58999633789063</v>
      </c>
      <c r="PV7" s="10">
        <v>251.8399963378906</v>
      </c>
      <c r="PW7" s="10">
        <v>106.8000030517578</v>
      </c>
      <c r="PX7" s="10">
        <v>194.77000427246091</v>
      </c>
      <c r="PY7" s="10">
        <v>184.1600036621094</v>
      </c>
      <c r="PZ7" s="10">
        <v>70.930000305175781</v>
      </c>
      <c r="QA7" s="10">
        <v>570.07000732421875</v>
      </c>
      <c r="QB7" s="10">
        <v>78.860000610351563</v>
      </c>
      <c r="QC7" s="10">
        <v>241.6600036621094</v>
      </c>
      <c r="QD7" s="10">
        <v>183.69999694824219</v>
      </c>
      <c r="QE7" s="10">
        <v>745.760009765625</v>
      </c>
      <c r="QF7" s="10">
        <v>172.28999328613281</v>
      </c>
      <c r="QG7" s="10">
        <v>51.75</v>
      </c>
      <c r="QH7" s="10">
        <v>33.130001068115227</v>
      </c>
      <c r="QI7" s="10">
        <v>354.010009765625</v>
      </c>
      <c r="QJ7" s="10">
        <v>59.409999847412109</v>
      </c>
      <c r="QK7" s="10">
        <v>35.639999389648438</v>
      </c>
      <c r="QL7" s="10">
        <v>31.45999908447266</v>
      </c>
      <c r="QM7" s="10">
        <v>40.909999847412109</v>
      </c>
      <c r="QN7" s="10">
        <v>551.19000244140625</v>
      </c>
      <c r="QO7" s="10">
        <v>199.53999328613281</v>
      </c>
      <c r="QP7" s="10">
        <v>43.349998474121087</v>
      </c>
      <c r="QQ7" s="10">
        <v>193.7200012207031</v>
      </c>
      <c r="QR7" s="10">
        <v>389.07000732421881</v>
      </c>
      <c r="QS7" s="10">
        <v>494.19000244140619</v>
      </c>
      <c r="QT7" s="10">
        <v>127.69000244140619</v>
      </c>
      <c r="QU7" s="10">
        <v>138.5299987792969</v>
      </c>
      <c r="QV7" s="10">
        <v>42.659999847412109</v>
      </c>
      <c r="QW7" s="10">
        <v>213.3399963378906</v>
      </c>
      <c r="QX7" s="10">
        <v>191.58000183105469</v>
      </c>
      <c r="QY7" s="10">
        <v>39.220001220703118</v>
      </c>
      <c r="QZ7" s="10">
        <v>316.32998657226563</v>
      </c>
      <c r="RA7" s="10">
        <v>22.54999923706055</v>
      </c>
      <c r="RB7" s="10">
        <v>9.6099996566772461</v>
      </c>
      <c r="RC7" s="10">
        <v>32.490001678466797</v>
      </c>
      <c r="RD7" s="10">
        <v>229</v>
      </c>
      <c r="RE7" s="10">
        <v>172.92999267578119</v>
      </c>
      <c r="RF7" s="10">
        <v>62.840000152587891</v>
      </c>
      <c r="RG7" s="10">
        <v>100.84999847412109</v>
      </c>
      <c r="RH7" s="10">
        <v>35.459999084472663</v>
      </c>
      <c r="RI7" s="10">
        <v>49.563331604003913</v>
      </c>
      <c r="RJ7" s="10">
        <v>99.760002136230469</v>
      </c>
      <c r="RK7" s="10">
        <v>14.810000419616699</v>
      </c>
      <c r="RL7" s="10">
        <v>163.8699951171875</v>
      </c>
      <c r="RM7" s="10">
        <v>307.45999145507813</v>
      </c>
      <c r="RN7" s="10">
        <v>94.269996643066406</v>
      </c>
      <c r="RO7" s="10">
        <v>37.720001220703118</v>
      </c>
      <c r="RP7" s="10">
        <v>71.730003356933594</v>
      </c>
      <c r="RQ7" s="10">
        <v>347.04000854492188</v>
      </c>
      <c r="RR7" s="10">
        <v>37.200000762939453</v>
      </c>
      <c r="RS7" s="10">
        <v>30.520000457763668</v>
      </c>
      <c r="RT7" s="10">
        <v>30</v>
      </c>
      <c r="RU7" s="10">
        <v>29.85000038146973</v>
      </c>
      <c r="RV7" s="10">
        <v>233.3500061035156</v>
      </c>
      <c r="RW7" s="10">
        <v>683.16998291015625</v>
      </c>
      <c r="RX7" s="10">
        <v>113.3300018310547</v>
      </c>
      <c r="RY7" s="10">
        <v>67.519996643066406</v>
      </c>
      <c r="RZ7" s="10">
        <v>104.4599990844727</v>
      </c>
      <c r="SA7" s="10">
        <v>133.21000671386719</v>
      </c>
      <c r="SB7" s="10">
        <v>311.64999389648438</v>
      </c>
      <c r="SC7" s="10">
        <v>128.03999328613281</v>
      </c>
      <c r="SD7" s="10">
        <v>167.6600036621094</v>
      </c>
    </row>
    <row r="8" spans="1:498" x14ac:dyDescent="0.25">
      <c r="A8" s="13">
        <v>45047</v>
      </c>
      <c r="B8" s="10">
        <v>105.84999847412109</v>
      </c>
      <c r="C8" s="10">
        <v>70.139999389648438</v>
      </c>
      <c r="D8" s="10">
        <v>111.11000061035161</v>
      </c>
      <c r="E8" s="10">
        <v>153.71000671386719</v>
      </c>
      <c r="F8" s="10">
        <v>279.42001342773438</v>
      </c>
      <c r="G8" s="10">
        <v>374.14999389648438</v>
      </c>
      <c r="H8" s="10">
        <v>89.69000244140625</v>
      </c>
      <c r="I8" s="10">
        <v>23.159999847412109</v>
      </c>
      <c r="J8" s="10">
        <v>70.360000610351563</v>
      </c>
      <c r="K8" s="10">
        <v>136.08000183105469</v>
      </c>
      <c r="L8" s="10">
        <v>296.17999267578119</v>
      </c>
      <c r="M8" s="10">
        <v>121.4199981689453</v>
      </c>
      <c r="N8" s="10">
        <v>80.540000915527344</v>
      </c>
      <c r="O8" s="10">
        <v>177.27000427246091</v>
      </c>
      <c r="P8" s="10">
        <v>121.8199996948242</v>
      </c>
      <c r="Q8" s="10">
        <v>317.32998657226563</v>
      </c>
      <c r="R8" s="10">
        <v>110.6800003051758</v>
      </c>
      <c r="S8" s="10">
        <v>55.290000915527337</v>
      </c>
      <c r="T8" s="10">
        <v>115.86000061035161</v>
      </c>
      <c r="U8" s="10">
        <v>107.1999969482422</v>
      </c>
      <c r="V8" s="10">
        <v>107.7099990844727</v>
      </c>
      <c r="W8" s="10">
        <v>47.779998779296882</v>
      </c>
      <c r="X8" s="10">
        <v>102.0500030517578</v>
      </c>
      <c r="Y8" s="10">
        <v>11.060000419616699</v>
      </c>
      <c r="Z8" s="10">
        <v>89.629997253417969</v>
      </c>
      <c r="AA8" s="10">
        <v>13.89000034332275</v>
      </c>
      <c r="AB8" s="10">
        <v>92.650001525878906</v>
      </c>
      <c r="AC8" s="10">
        <v>159.32000732421881</v>
      </c>
      <c r="AD8" s="10">
        <v>53.090000152587891</v>
      </c>
      <c r="AE8" s="10">
        <v>199.5</v>
      </c>
      <c r="AF8" s="10">
        <v>146.5899963378906</v>
      </c>
      <c r="AG8" s="10">
        <v>302.57998657226563</v>
      </c>
      <c r="AH8" s="10">
        <v>139.3399963378906</v>
      </c>
      <c r="AI8" s="10">
        <v>238.8999938964844</v>
      </c>
      <c r="AJ8" s="10">
        <v>76.44000244140625</v>
      </c>
      <c r="AK8" s="10">
        <v>182.53999328613281</v>
      </c>
      <c r="AL8" s="10">
        <v>314.17001342773438</v>
      </c>
      <c r="AM8" s="10">
        <v>323.42999267578119</v>
      </c>
      <c r="AN8" s="10">
        <v>36.900001525878913</v>
      </c>
      <c r="AO8" s="10">
        <v>169.5899963378906</v>
      </c>
      <c r="AP8" s="10">
        <v>112.9499969482422</v>
      </c>
      <c r="AQ8" s="10">
        <v>102.19000244140619</v>
      </c>
      <c r="AR8" s="10">
        <v>75.900001525878906</v>
      </c>
      <c r="AS8" s="10">
        <v>77.800003051757813</v>
      </c>
      <c r="AT8" s="10">
        <v>160.1600036621094</v>
      </c>
      <c r="AU8" s="10">
        <v>210.52000427246091</v>
      </c>
      <c r="AV8" s="10">
        <v>123.0500030517578</v>
      </c>
      <c r="AW8" s="10">
        <v>17.5</v>
      </c>
      <c r="AX8" s="10">
        <v>114.5500030517578</v>
      </c>
      <c r="AY8" s="10">
        <v>196.4700012207031</v>
      </c>
      <c r="AZ8" s="10">
        <v>221.1199951171875</v>
      </c>
      <c r="BA8" s="10">
        <v>2679.5400390625</v>
      </c>
      <c r="BB8" s="10">
        <v>181.66999816894531</v>
      </c>
      <c r="BC8" s="10">
        <v>174.67999267578119</v>
      </c>
      <c r="BD8" s="10">
        <v>216</v>
      </c>
      <c r="BE8" s="10">
        <v>28.879999160766602</v>
      </c>
      <c r="BF8" s="10">
        <v>53.630001068115227</v>
      </c>
      <c r="BG8" s="10">
        <v>29.04000091552734</v>
      </c>
      <c r="BH8" s="10">
        <v>42.139999389648438</v>
      </c>
      <c r="BI8" s="10">
        <v>34.860000610351563</v>
      </c>
      <c r="BJ8" s="10">
        <v>47.380001068115227</v>
      </c>
      <c r="BK8" s="10">
        <v>265.32000732421881</v>
      </c>
      <c r="BL8" s="10">
        <v>330.17001342773438</v>
      </c>
      <c r="BM8" s="10">
        <v>73.650001525878906</v>
      </c>
      <c r="BN8" s="10">
        <v>453.91000366210938</v>
      </c>
      <c r="BO8" s="10">
        <v>79.230003356933594</v>
      </c>
      <c r="BP8" s="10">
        <v>311.1099853515625</v>
      </c>
      <c r="BQ8" s="10">
        <v>662.969970703125</v>
      </c>
      <c r="BR8" s="10">
        <v>88.75</v>
      </c>
      <c r="BS8" s="10">
        <v>203.8699951171875</v>
      </c>
      <c r="BT8" s="10">
        <v>2691.090087890625</v>
      </c>
      <c r="BU8" s="10">
        <v>42.086269378662109</v>
      </c>
      <c r="BV8" s="10">
        <v>52.810001373291023</v>
      </c>
      <c r="BW8" s="10">
        <v>52.799999237060547</v>
      </c>
      <c r="BX8" s="10">
        <v>68.400001525878906</v>
      </c>
      <c r="BY8" s="10">
        <v>637.95001220703125</v>
      </c>
      <c r="BZ8" s="10">
        <v>144.17999267578119</v>
      </c>
      <c r="CA8" s="10">
        <v>65.830001831054688</v>
      </c>
      <c r="CB8" s="10">
        <v>65.290000915527344</v>
      </c>
      <c r="CC8" s="10">
        <v>93.849998474121094</v>
      </c>
      <c r="CD8" s="10">
        <v>92.540000915527344</v>
      </c>
      <c r="CE8" s="10">
        <v>210.6499938964844</v>
      </c>
      <c r="CF8" s="10">
        <v>46.509998321533203</v>
      </c>
      <c r="CG8" s="10">
        <v>111.26999664306641</v>
      </c>
      <c r="CH8" s="10">
        <v>54.630001068115227</v>
      </c>
      <c r="CI8" s="10">
        <v>93.169998168945313</v>
      </c>
      <c r="CJ8" s="10">
        <v>82.25</v>
      </c>
      <c r="CK8" s="10">
        <v>70.480003356933594</v>
      </c>
      <c r="CL8" s="10">
        <v>9.4899997711181641</v>
      </c>
      <c r="CM8" s="10">
        <v>41.169998168945313</v>
      </c>
      <c r="CN8" s="10">
        <v>50.119998931884773</v>
      </c>
      <c r="CO8" s="10">
        <v>217.27000427246091</v>
      </c>
      <c r="CP8" s="10">
        <v>138.32000732421881</v>
      </c>
      <c r="CQ8" s="10">
        <v>76.400001525878906</v>
      </c>
      <c r="CR8" s="10">
        <v>170.32000732421881</v>
      </c>
      <c r="CS8" s="10">
        <v>104.629997253418</v>
      </c>
      <c r="CT8" s="10">
        <v>166.78999328613281</v>
      </c>
      <c r="CU8" s="10">
        <v>68.610000610351563</v>
      </c>
      <c r="CV8" s="10">
        <v>30.680000305175781</v>
      </c>
      <c r="CW8" s="10">
        <v>71.949996948242188</v>
      </c>
      <c r="CX8" s="10">
        <v>104.44000244140619</v>
      </c>
      <c r="CY8" s="10">
        <v>190.1000061035156</v>
      </c>
      <c r="CZ8" s="10">
        <v>51.810001373291023</v>
      </c>
      <c r="DA8" s="10">
        <v>366.510009765625</v>
      </c>
      <c r="DB8" s="10">
        <v>167.24000549316409</v>
      </c>
      <c r="DC8" s="10">
        <v>2039.280029296875</v>
      </c>
      <c r="DD8" s="10">
        <v>202.13999938964841</v>
      </c>
      <c r="DE8" s="10">
        <v>96.660003662109375</v>
      </c>
      <c r="DF8" s="10">
        <v>254.8999938964844</v>
      </c>
      <c r="DG8" s="10">
        <v>105.3300018310547</v>
      </c>
      <c r="DH8" s="10">
        <v>462.32000732421881</v>
      </c>
      <c r="DI8" s="10">
        <v>47.340000152587891</v>
      </c>
      <c r="DJ8" s="10">
        <v>47.25</v>
      </c>
      <c r="DK8" s="10">
        <v>28.819999694824219</v>
      </c>
      <c r="DL8" s="10">
        <v>167.1199951171875</v>
      </c>
      <c r="DM8" s="10">
        <v>186.6300048828125</v>
      </c>
      <c r="DN8" s="10">
        <v>61.639999389648438</v>
      </c>
      <c r="DO8" s="10">
        <v>64.300003051757813</v>
      </c>
      <c r="DP8" s="10">
        <v>59.840000152587891</v>
      </c>
      <c r="DQ8" s="10">
        <v>80.69000244140625</v>
      </c>
      <c r="DR8" s="10">
        <v>41.639999389648438</v>
      </c>
      <c r="DS8" s="10">
        <v>42.5</v>
      </c>
      <c r="DT8" s="10">
        <v>38.220001220703118</v>
      </c>
      <c r="DU8" s="10">
        <v>102.5299987792969</v>
      </c>
      <c r="DV8" s="10">
        <v>99.110000610351563</v>
      </c>
      <c r="DW8" s="10">
        <v>230.22999572753909</v>
      </c>
      <c r="DX8" s="10">
        <v>77.050003051757813</v>
      </c>
      <c r="DY8" s="10">
        <v>95.942497253417969</v>
      </c>
      <c r="DZ8" s="10">
        <v>39.200000762939453</v>
      </c>
      <c r="EA8" s="10">
        <v>33.110000610351563</v>
      </c>
      <c r="EB8" s="10">
        <v>61.459999084472663</v>
      </c>
      <c r="EC8" s="10">
        <v>76.110000610351563</v>
      </c>
      <c r="ED8" s="10">
        <v>493.58999633789063</v>
      </c>
      <c r="EE8" s="10">
        <v>25.440000534057621</v>
      </c>
      <c r="EF8" s="10">
        <v>122.0400009155273</v>
      </c>
      <c r="EG8" s="10">
        <v>31.29999923706055</v>
      </c>
      <c r="EH8" s="10">
        <v>234.58000183105469</v>
      </c>
      <c r="EI8" s="10">
        <v>73.889999389648438</v>
      </c>
      <c r="EJ8" s="10">
        <v>214.2996520996094</v>
      </c>
      <c r="EK8" s="10">
        <v>151.25999450683591</v>
      </c>
      <c r="EL8" s="10">
        <v>90.389999389648438</v>
      </c>
      <c r="EM8" s="10">
        <v>65.180000305175781</v>
      </c>
      <c r="EN8" s="10">
        <v>485.95999145507813</v>
      </c>
      <c r="EO8" s="10">
        <v>382.1199951171875</v>
      </c>
      <c r="EP8" s="10">
        <v>34.720001220703118</v>
      </c>
      <c r="EQ8" s="10">
        <v>42.389999389648438</v>
      </c>
      <c r="ER8" s="10">
        <v>53.240001678466797</v>
      </c>
      <c r="ES8" s="10">
        <v>118.44000244140619</v>
      </c>
      <c r="ET8" s="10">
        <v>141.92999267578119</v>
      </c>
      <c r="EU8" s="10">
        <v>96.930000305175781</v>
      </c>
      <c r="EV8" s="10">
        <v>99.610000610351563</v>
      </c>
      <c r="EW8" s="10">
        <v>220.1000061035156</v>
      </c>
      <c r="EX8" s="10">
        <v>153.66999816894531</v>
      </c>
      <c r="EY8" s="10">
        <v>57.119998931884773</v>
      </c>
      <c r="EZ8" s="10">
        <v>311.25</v>
      </c>
      <c r="FA8" s="10">
        <v>146.4100036621094</v>
      </c>
      <c r="FB8" s="10">
        <v>54.110000610351563</v>
      </c>
      <c r="FC8" s="10">
        <v>108.4199981689453</v>
      </c>
      <c r="FD8" s="10">
        <v>112.9599990844727</v>
      </c>
      <c r="FE8" s="10">
        <v>99.089996337890625</v>
      </c>
      <c r="FF8" s="10">
        <v>69.379997253417969</v>
      </c>
      <c r="FG8" s="10">
        <v>82.5</v>
      </c>
      <c r="FH8" s="10">
        <v>168.7799987792969</v>
      </c>
      <c r="FI8" s="10">
        <v>45.659999847412109</v>
      </c>
      <c r="FJ8" s="10">
        <v>168.7799987792969</v>
      </c>
      <c r="FK8" s="10">
        <v>73.949996948242188</v>
      </c>
      <c r="FL8" s="10">
        <v>87.550003051757813</v>
      </c>
      <c r="FM8" s="10">
        <v>127.4199981689453</v>
      </c>
      <c r="FN8" s="10">
        <v>472.27999877929688</v>
      </c>
      <c r="FO8" s="10">
        <v>405.80999755859381</v>
      </c>
      <c r="FP8" s="10">
        <v>83.349998474121094</v>
      </c>
      <c r="FQ8" s="10">
        <v>160.5899963378906</v>
      </c>
      <c r="FR8" s="10">
        <v>107.4100036621094</v>
      </c>
      <c r="FS8" s="10">
        <v>118.63999938964839</v>
      </c>
      <c r="FT8" s="10">
        <v>279.010009765625</v>
      </c>
      <c r="FU8" s="10">
        <v>34.270000457763672</v>
      </c>
      <c r="FV8" s="10">
        <v>205.38999938964841</v>
      </c>
      <c r="FW8" s="10">
        <v>722.010009765625</v>
      </c>
      <c r="FX8" s="10">
        <v>63.659999847412109</v>
      </c>
      <c r="FY8" s="10">
        <v>220.6600036621094</v>
      </c>
      <c r="FZ8" s="10">
        <v>246.8699951171875</v>
      </c>
      <c r="GA8" s="10">
        <v>96.269996643066406</v>
      </c>
      <c r="GB8" s="10">
        <v>380.33999633789063</v>
      </c>
      <c r="GC8" s="10">
        <v>62.470001220703118</v>
      </c>
      <c r="GD8" s="10">
        <v>77.720001220703125</v>
      </c>
      <c r="GE8" s="10">
        <v>43.180000305175781</v>
      </c>
      <c r="GF8" s="10">
        <v>94.419998168945313</v>
      </c>
      <c r="GG8" s="10">
        <v>116.4700012207031</v>
      </c>
      <c r="GH8" s="10">
        <v>152.3999938964844</v>
      </c>
      <c r="GI8" s="10">
        <v>114.6699981689453</v>
      </c>
      <c r="GJ8" s="10">
        <v>134.25999450683591</v>
      </c>
      <c r="GK8" s="10">
        <v>411.1300048828125</v>
      </c>
      <c r="GL8" s="10">
        <v>745.989990234375</v>
      </c>
      <c r="GM8" s="10">
        <v>54.580001831054688</v>
      </c>
      <c r="GN8" s="10">
        <v>97.680000305175781</v>
      </c>
      <c r="GO8" s="10">
        <v>230.58000183105469</v>
      </c>
      <c r="GP8" s="10">
        <v>56.689998626708977</v>
      </c>
      <c r="GQ8" s="10">
        <v>25.819999694824219</v>
      </c>
      <c r="GR8" s="10">
        <v>180.8500061035156</v>
      </c>
      <c r="GS8" s="10">
        <v>39.009998321533203</v>
      </c>
      <c r="GT8" s="10">
        <v>121.44000244140619</v>
      </c>
      <c r="GU8" s="10">
        <v>213.88999938964841</v>
      </c>
      <c r="GV8" s="10">
        <v>123.7600021362305</v>
      </c>
      <c r="GW8" s="10">
        <v>12.060000419616699</v>
      </c>
      <c r="GX8" s="10">
        <v>62.810001373291023</v>
      </c>
      <c r="GY8" s="10">
        <v>63.880001068115227</v>
      </c>
      <c r="GZ8" s="10">
        <v>33.299999237060547</v>
      </c>
      <c r="HA8" s="10">
        <v>30.620000839233398</v>
      </c>
      <c r="HB8" s="10">
        <v>26.129999160766602</v>
      </c>
      <c r="HC8" s="10">
        <v>37.630001068115227</v>
      </c>
      <c r="HD8" s="10">
        <v>98.319999694824219</v>
      </c>
      <c r="HE8" s="10">
        <v>307.60000610351563</v>
      </c>
      <c r="HF8" s="10">
        <v>80.779998779296875</v>
      </c>
      <c r="HG8" s="10">
        <v>17.659999847412109</v>
      </c>
      <c r="HH8" s="10">
        <v>102.51999664306641</v>
      </c>
      <c r="HI8" s="10">
        <v>218.1300048828125</v>
      </c>
      <c r="HJ8" s="10">
        <v>101.1800003051758</v>
      </c>
      <c r="HK8" s="10">
        <v>89.370002746582031</v>
      </c>
      <c r="HL8" s="10">
        <v>33.479999542236328</v>
      </c>
      <c r="HM8" s="10">
        <v>170.91999816894531</v>
      </c>
      <c r="HN8" s="10">
        <v>81.419998168945313</v>
      </c>
      <c r="HO8" s="10">
        <v>103</v>
      </c>
      <c r="HP8" s="10">
        <v>109.0100021362305</v>
      </c>
      <c r="HQ8" s="10">
        <v>340.57000732421881</v>
      </c>
      <c r="HR8" s="10">
        <v>32.549999237060547</v>
      </c>
      <c r="HS8" s="10">
        <v>71.279998779296875</v>
      </c>
      <c r="HT8" s="10">
        <v>58.639999389648438</v>
      </c>
      <c r="HU8" s="10">
        <v>284.010009765625</v>
      </c>
      <c r="HV8" s="10">
        <v>21.639999389648441</v>
      </c>
      <c r="HW8" s="10">
        <v>82.400001525878906</v>
      </c>
      <c r="HX8" s="10">
        <v>276.35000610351563</v>
      </c>
      <c r="HY8" s="10">
        <v>143.30999755859381</v>
      </c>
      <c r="HZ8" s="10">
        <v>14.439999580383301</v>
      </c>
      <c r="IA8" s="10">
        <v>144.44999694824219</v>
      </c>
      <c r="IB8" s="10">
        <v>87.669998168945313</v>
      </c>
      <c r="IC8" s="10">
        <v>297.70001220703119</v>
      </c>
      <c r="ID8" s="10">
        <v>200.47999572753909</v>
      </c>
      <c r="IE8" s="10">
        <v>40.630001068115227</v>
      </c>
      <c r="IF8" s="10">
        <v>16.180000305175781</v>
      </c>
      <c r="IG8" s="10">
        <v>44.299999237060547</v>
      </c>
      <c r="IH8" s="10">
        <v>29.95999908447266</v>
      </c>
      <c r="II8" s="10">
        <v>272.8599853515625</v>
      </c>
      <c r="IJ8" s="10">
        <v>535.1300048828125</v>
      </c>
      <c r="IK8" s="10">
        <v>10.989999771118161</v>
      </c>
      <c r="IL8" s="10">
        <v>202.1600036621094</v>
      </c>
      <c r="IM8" s="10">
        <v>126.0899963378906</v>
      </c>
      <c r="IN8" s="10">
        <v>206.8399963378906</v>
      </c>
      <c r="IO8" s="10">
        <v>489.60000610351563</v>
      </c>
      <c r="IP8" s="10">
        <v>245.80999755859381</v>
      </c>
      <c r="IQ8" s="10">
        <v>202.30999755859381</v>
      </c>
      <c r="IR8" s="10">
        <v>75.339996337890625</v>
      </c>
      <c r="IS8" s="10">
        <v>57.119998931884773</v>
      </c>
      <c r="IT8" s="10">
        <v>318.8699951171875</v>
      </c>
      <c r="IU8" s="10">
        <v>30.29999923706055</v>
      </c>
      <c r="IV8" s="10">
        <v>108.620002746582</v>
      </c>
      <c r="IW8" s="10">
        <v>96.720001220703125</v>
      </c>
      <c r="IX8" s="10">
        <v>33.240001678466797</v>
      </c>
      <c r="IY8" s="10">
        <v>36.150001525878913</v>
      </c>
      <c r="IZ8" s="10">
        <v>442.510009765625</v>
      </c>
      <c r="JA8" s="10">
        <v>303.01998901367188</v>
      </c>
      <c r="JB8" s="10">
        <v>16.780000686645511</v>
      </c>
      <c r="JC8" s="10">
        <v>33.419998168945313</v>
      </c>
      <c r="JD8" s="10">
        <v>190</v>
      </c>
      <c r="JE8" s="10">
        <v>55.369998931884773</v>
      </c>
      <c r="JF8" s="10">
        <v>176.4700012207031</v>
      </c>
      <c r="JG8" s="10">
        <v>79.30999755859375</v>
      </c>
      <c r="JH8" s="10">
        <v>163.1300048828125</v>
      </c>
      <c r="JI8" s="10">
        <v>116.370002746582</v>
      </c>
      <c r="JJ8" s="10">
        <v>163.6000061035156</v>
      </c>
      <c r="JK8" s="10">
        <v>59.610000610351563</v>
      </c>
      <c r="JL8" s="10">
        <v>141.19999694824219</v>
      </c>
      <c r="JM8" s="10">
        <v>29.879999160766602</v>
      </c>
      <c r="JN8" s="10">
        <v>66.469482421875</v>
      </c>
      <c r="JO8" s="10">
        <v>32.569999694824219</v>
      </c>
      <c r="JP8" s="10">
        <v>10.72000026702881</v>
      </c>
      <c r="JQ8" s="10">
        <v>144.53999328613281</v>
      </c>
      <c r="JR8" s="10">
        <v>145.8500061035156</v>
      </c>
      <c r="JS8" s="10">
        <v>18.85000038146973</v>
      </c>
      <c r="JT8" s="10">
        <v>17.10000038146973</v>
      </c>
      <c r="JU8" s="10">
        <v>384.42999267578119</v>
      </c>
      <c r="JV8" s="10">
        <v>39.759998321533203</v>
      </c>
      <c r="JW8" s="10">
        <v>49.279998779296882</v>
      </c>
      <c r="JX8" s="10">
        <v>194.71000671386719</v>
      </c>
      <c r="JY8" s="10">
        <v>197.3023986816406</v>
      </c>
      <c r="JZ8" s="10">
        <v>523.83001708984375</v>
      </c>
      <c r="KA8" s="10">
        <v>112.19000244140619</v>
      </c>
      <c r="KB8" s="10">
        <v>64.860000610351563</v>
      </c>
      <c r="KC8" s="10">
        <v>94.319999694824219</v>
      </c>
      <c r="KD8" s="10">
        <v>112.38999938964839</v>
      </c>
      <c r="KE8" s="10">
        <v>372.30999755859381</v>
      </c>
      <c r="KF8" s="10">
        <v>68.400001525878906</v>
      </c>
      <c r="KG8" s="10">
        <v>469.42999267578119</v>
      </c>
      <c r="KH8" s="10">
        <v>60.130001068115227</v>
      </c>
      <c r="KI8" s="10">
        <v>208.2200012207031</v>
      </c>
      <c r="KJ8" s="10">
        <v>384.989990234375</v>
      </c>
      <c r="KK8" s="10">
        <v>93.519996643066406</v>
      </c>
      <c r="KL8" s="10">
        <v>121.69000244140619</v>
      </c>
      <c r="KM8" s="10">
        <v>24.04000091552734</v>
      </c>
      <c r="KN8" s="10">
        <v>122.4599990844727</v>
      </c>
      <c r="KO8" s="10">
        <v>317.29000854492188</v>
      </c>
      <c r="KP8" s="10">
        <v>170.13999938964841</v>
      </c>
      <c r="KQ8" s="10">
        <v>181.50999450683591</v>
      </c>
      <c r="KR8" s="10">
        <v>367.3699951171875</v>
      </c>
      <c r="KS8" s="10">
        <v>53.360000610351563</v>
      </c>
      <c r="KT8" s="10">
        <v>379.8599853515625</v>
      </c>
      <c r="KU8" s="10">
        <v>35.970001220703118</v>
      </c>
      <c r="KV8" s="10">
        <v>88.410003662109375</v>
      </c>
      <c r="KW8" s="10">
        <v>297.57998657226563</v>
      </c>
      <c r="KX8" s="10">
        <v>354.010009765625</v>
      </c>
      <c r="KY8" s="10">
        <v>90.680000305175781</v>
      </c>
      <c r="KZ8" s="10">
        <v>116.3399963378906</v>
      </c>
      <c r="LA8" s="10">
        <v>243.17999267578119</v>
      </c>
      <c r="LB8" s="10">
        <v>61.259998321533203</v>
      </c>
      <c r="LC8" s="10">
        <v>1519.300048828125</v>
      </c>
      <c r="LD8" s="10">
        <v>46.040000915527337</v>
      </c>
      <c r="LE8" s="10">
        <v>75.379997253417969</v>
      </c>
      <c r="LF8" s="10">
        <v>62.349998474121087</v>
      </c>
      <c r="LG8" s="10">
        <v>305.55999755859381</v>
      </c>
      <c r="LH8" s="10">
        <v>154.5</v>
      </c>
      <c r="LI8" s="10">
        <v>133.3999938964844</v>
      </c>
      <c r="LJ8" s="10">
        <v>103.3199996948242</v>
      </c>
      <c r="LK8" s="10">
        <v>305.5</v>
      </c>
      <c r="LL8" s="10">
        <v>60.450000762939453</v>
      </c>
      <c r="LM8" s="10">
        <v>77.220001220703125</v>
      </c>
      <c r="LN8" s="10">
        <v>471.739990234375</v>
      </c>
      <c r="LO8" s="10">
        <v>56.840000152587891</v>
      </c>
      <c r="LP8" s="10">
        <v>313.27999877929688</v>
      </c>
      <c r="LQ8" s="10">
        <v>87.930000305175781</v>
      </c>
      <c r="LR8" s="10">
        <v>43.590000152587891</v>
      </c>
      <c r="LS8" s="10">
        <v>294.57000732421881</v>
      </c>
      <c r="LT8" s="10">
        <v>483.02999877929688</v>
      </c>
      <c r="LU8" s="10">
        <v>55.049999237060547</v>
      </c>
      <c r="LV8" s="10">
        <v>63.689998626708977</v>
      </c>
      <c r="LW8" s="10">
        <v>324.1199951171875</v>
      </c>
      <c r="LX8" s="10">
        <v>46.930000305175781</v>
      </c>
      <c r="LY8" s="10">
        <v>17.370000839233398</v>
      </c>
      <c r="LZ8" s="10">
        <v>17.530000686645511</v>
      </c>
      <c r="MA8" s="10">
        <v>76.800003051757813</v>
      </c>
      <c r="MB8" s="10">
        <v>127.9199981689453</v>
      </c>
      <c r="MC8" s="10">
        <v>28.510000228881839</v>
      </c>
      <c r="MD8" s="10">
        <v>217.5299987792969</v>
      </c>
      <c r="ME8" s="10">
        <v>208.61000061035159</v>
      </c>
      <c r="MF8" s="10">
        <v>77.029998779296875</v>
      </c>
      <c r="MG8" s="10">
        <v>462.72000122070313</v>
      </c>
      <c r="MH8" s="10">
        <v>14.539999961853029</v>
      </c>
      <c r="MI8" s="10">
        <v>34</v>
      </c>
      <c r="MJ8" s="10">
        <v>148.00999450683591</v>
      </c>
      <c r="MK8" s="10">
        <v>289.10000610351563</v>
      </c>
      <c r="ML8" s="10">
        <v>5870.490234375</v>
      </c>
      <c r="MM8" s="10">
        <v>166.00999450683591</v>
      </c>
      <c r="MN8" s="10">
        <v>929.5999755859375</v>
      </c>
      <c r="MO8" s="10">
        <v>61.169998168945313</v>
      </c>
      <c r="MP8" s="10">
        <v>317.739990234375</v>
      </c>
      <c r="MQ8" s="10">
        <v>92.180000305175781</v>
      </c>
      <c r="MR8" s="10">
        <v>78.330001831054688</v>
      </c>
      <c r="MS8" s="10">
        <v>65.389999389648438</v>
      </c>
      <c r="MT8" s="10">
        <v>94.870002746582031</v>
      </c>
      <c r="MU8" s="10">
        <v>85.949996948242188</v>
      </c>
      <c r="MV8" s="10">
        <v>74.790000915527344</v>
      </c>
      <c r="MW8" s="10">
        <v>138.1499938964844</v>
      </c>
      <c r="MX8" s="10">
        <v>183.30000305175781</v>
      </c>
      <c r="MY8" s="10">
        <v>23.440000534057621</v>
      </c>
      <c r="MZ8" s="10">
        <v>327.3699951171875</v>
      </c>
      <c r="NA8" s="10">
        <v>110.0699996948242</v>
      </c>
      <c r="NB8" s="10">
        <v>297.54998779296881</v>
      </c>
      <c r="NC8" s="10">
        <v>75.110000610351563</v>
      </c>
      <c r="ND8" s="10">
        <v>57.610000610351563</v>
      </c>
      <c r="NE8" s="10">
        <v>191.67999267578119</v>
      </c>
      <c r="NF8" s="10">
        <v>39.209999084472663</v>
      </c>
      <c r="NG8" s="10">
        <v>17.20000076293945</v>
      </c>
      <c r="NH8" s="10">
        <v>99.349998474121094</v>
      </c>
      <c r="NI8" s="10">
        <v>98.400001525878906</v>
      </c>
      <c r="NJ8" s="10">
        <v>78.919998168945313</v>
      </c>
      <c r="NK8" s="10">
        <v>216.99000549316409</v>
      </c>
      <c r="NL8" s="10">
        <v>122</v>
      </c>
      <c r="NM8" s="10">
        <v>346.77999877929688</v>
      </c>
      <c r="NN8" s="10">
        <v>139.75999450683591</v>
      </c>
      <c r="NO8" s="10">
        <v>28.770000457763668</v>
      </c>
      <c r="NP8" s="10">
        <v>73.980003356933594</v>
      </c>
      <c r="NQ8" s="10">
        <v>135.88999938964841</v>
      </c>
      <c r="NR8" s="10">
        <v>122.40000152587891</v>
      </c>
      <c r="NS8" s="10">
        <v>86.30999755859375</v>
      </c>
      <c r="NT8" s="10">
        <v>63.139999389648438</v>
      </c>
      <c r="NU8" s="10">
        <v>125.620002746582</v>
      </c>
      <c r="NV8" s="10">
        <v>292.58999633789063</v>
      </c>
      <c r="NW8" s="10">
        <v>65.779998779296875</v>
      </c>
      <c r="NX8" s="10">
        <v>92.839996337890625</v>
      </c>
      <c r="NY8" s="10">
        <v>169.21000671386719</v>
      </c>
      <c r="NZ8" s="10">
        <v>115.8399963378906</v>
      </c>
      <c r="OA8" s="10">
        <v>139.47999572753909</v>
      </c>
      <c r="OB8" s="10">
        <v>113.6999969482422</v>
      </c>
      <c r="OC8" s="10">
        <v>89.760002136230469</v>
      </c>
      <c r="OD8" s="10">
        <v>100.3300018310547</v>
      </c>
      <c r="OE8" s="10">
        <v>62.240001678466797</v>
      </c>
      <c r="OF8" s="10">
        <v>60.639999389648438</v>
      </c>
      <c r="OG8" s="10">
        <v>17.840000152587891</v>
      </c>
      <c r="OH8" s="10">
        <v>144.97999572753909</v>
      </c>
      <c r="OI8" s="10">
        <v>234.42999267578119</v>
      </c>
      <c r="OJ8" s="10">
        <v>130.25999450683591</v>
      </c>
      <c r="OK8" s="10">
        <v>73.160003662109375</v>
      </c>
      <c r="OL8" s="10">
        <v>282.64999389648438</v>
      </c>
      <c r="OM8" s="10">
        <v>41.270000457763672</v>
      </c>
      <c r="ON8" s="10">
        <v>458.6300048828125</v>
      </c>
      <c r="OO8" s="10">
        <v>105.75</v>
      </c>
      <c r="OP8" s="10">
        <v>66.980003356933594</v>
      </c>
      <c r="OQ8" s="10">
        <v>362.64999389648438</v>
      </c>
      <c r="OR8" s="10">
        <v>197.78999328613281</v>
      </c>
      <c r="OS8" s="10">
        <v>261.04000854492188</v>
      </c>
      <c r="OT8" s="10">
        <v>49.150001525878913</v>
      </c>
      <c r="OU8" s="10">
        <v>58.560001373291023</v>
      </c>
      <c r="OV8" s="10">
        <v>78.230003356933594</v>
      </c>
      <c r="OW8" s="10">
        <v>450.41000366210938</v>
      </c>
      <c r="OX8" s="10">
        <v>231.94000244140619</v>
      </c>
      <c r="OY8" s="10">
        <v>113.4899978637695</v>
      </c>
      <c r="OZ8" s="10">
        <v>105.5699996948242</v>
      </c>
      <c r="PA8" s="10">
        <v>157.03999328613281</v>
      </c>
      <c r="PB8" s="10">
        <v>262.45001220703119</v>
      </c>
      <c r="PC8" s="10">
        <v>74.089996337890625</v>
      </c>
      <c r="PD8" s="10">
        <v>30.590000152587891</v>
      </c>
      <c r="PE8" s="10">
        <v>86.779998779296875</v>
      </c>
      <c r="PF8" s="10">
        <v>114.55999755859381</v>
      </c>
      <c r="PG8" s="10">
        <v>71.529998779296875</v>
      </c>
      <c r="PH8" s="10">
        <v>104.4300003051758</v>
      </c>
      <c r="PI8" s="10">
        <v>192.11000061035159</v>
      </c>
      <c r="PJ8" s="10">
        <v>299.8900146484375</v>
      </c>
      <c r="PK8" s="10">
        <v>105.11000061035161</v>
      </c>
      <c r="PL8" s="10">
        <v>371.6199951171875</v>
      </c>
      <c r="PM8" s="10">
        <v>76.819999694824219</v>
      </c>
      <c r="PN8" s="10">
        <v>143.21000671386719</v>
      </c>
      <c r="PO8" s="10">
        <v>111.30999755859381</v>
      </c>
      <c r="PP8" s="10">
        <v>124.13999938964839</v>
      </c>
      <c r="PQ8" s="10">
        <v>40.639999389648438</v>
      </c>
      <c r="PR8" s="10">
        <v>75.400001525878906</v>
      </c>
      <c r="PS8" s="10">
        <v>157.1199951171875</v>
      </c>
      <c r="PT8" s="10">
        <v>123.1999969482422</v>
      </c>
      <c r="PU8" s="10">
        <v>416.760009765625</v>
      </c>
      <c r="PV8" s="10">
        <v>274.1099853515625</v>
      </c>
      <c r="PW8" s="10">
        <v>92.300003051757813</v>
      </c>
      <c r="PX8" s="10">
        <v>161.83000183105469</v>
      </c>
      <c r="PY8" s="10">
        <v>166.67999267578119</v>
      </c>
      <c r="PZ8" s="10">
        <v>67.050003051757813</v>
      </c>
      <c r="QA8" s="10">
        <v>548.5</v>
      </c>
      <c r="QB8" s="10">
        <v>78.319999694824219</v>
      </c>
      <c r="QC8" s="10">
        <v>238.94999694824219</v>
      </c>
      <c r="QD8" s="10">
        <v>187.69999694824219</v>
      </c>
      <c r="QE8" s="10">
        <v>769.19000244140625</v>
      </c>
      <c r="QF8" s="10">
        <v>181.75999450683591</v>
      </c>
      <c r="QG8" s="10">
        <v>46.909999847412109</v>
      </c>
      <c r="QH8" s="10">
        <v>31.520000457763668</v>
      </c>
      <c r="QI8" s="10">
        <v>381.82000732421881</v>
      </c>
      <c r="QJ8" s="10">
        <v>62.330001831054688</v>
      </c>
      <c r="QK8" s="10">
        <v>32.939998626708977</v>
      </c>
      <c r="QL8" s="10">
        <v>32.740001678466797</v>
      </c>
      <c r="QM8" s="10">
        <v>41.220001220703118</v>
      </c>
      <c r="QN8" s="10">
        <v>532.8800048828125</v>
      </c>
      <c r="QO8" s="10">
        <v>198.6300048828125</v>
      </c>
      <c r="QP8" s="10">
        <v>44.409999847412109</v>
      </c>
      <c r="QQ8" s="10">
        <v>182.19999694824219</v>
      </c>
      <c r="QR8" s="10">
        <v>361.6400146484375</v>
      </c>
      <c r="QS8" s="10">
        <v>495.70001220703119</v>
      </c>
      <c r="QT8" s="10">
        <v>148.19000244140619</v>
      </c>
      <c r="QU8" s="10">
        <v>115.4100036621094</v>
      </c>
      <c r="QV8" s="10">
        <v>47.669998168945313</v>
      </c>
      <c r="QW8" s="10">
        <v>219.3999938964844</v>
      </c>
      <c r="QX8" s="10">
        <v>192.57000732421881</v>
      </c>
      <c r="QY8" s="10">
        <v>38.709999084472663</v>
      </c>
      <c r="QZ8" s="10">
        <v>345</v>
      </c>
      <c r="RA8" s="10">
        <v>22.760000228881839</v>
      </c>
      <c r="RB8" s="10">
        <v>9.3599996566772461</v>
      </c>
      <c r="RC8" s="10">
        <v>33.779998779296882</v>
      </c>
      <c r="RD8" s="10">
        <v>232.50999450683591</v>
      </c>
      <c r="RE8" s="10">
        <v>177.50999450683591</v>
      </c>
      <c r="RF8" s="10">
        <v>59.729999542236328</v>
      </c>
      <c r="RG8" s="10">
        <v>98.19000244140625</v>
      </c>
      <c r="RH8" s="10">
        <v>34.610000610351563</v>
      </c>
      <c r="RI8" s="10">
        <v>50.529998779296882</v>
      </c>
      <c r="RJ8" s="10">
        <v>102.2099990844727</v>
      </c>
      <c r="RK8" s="10">
        <v>13.289999961853029</v>
      </c>
      <c r="RL8" s="10">
        <v>166.78999328613281</v>
      </c>
      <c r="RM8" s="10">
        <v>298.22000122070313</v>
      </c>
      <c r="RN8" s="10">
        <v>95.94000244140625</v>
      </c>
      <c r="RO8" s="10">
        <v>40.389999389648438</v>
      </c>
      <c r="RP8" s="10">
        <v>78.260002136230469</v>
      </c>
      <c r="RQ8" s="10">
        <v>366.1300048828125</v>
      </c>
      <c r="RR8" s="10">
        <v>34.060001373291023</v>
      </c>
      <c r="RS8" s="10">
        <v>30.129999160766602</v>
      </c>
      <c r="RT8" s="10">
        <v>29.75</v>
      </c>
      <c r="RU8" s="10">
        <v>30.360000610351559</v>
      </c>
      <c r="RV8" s="10">
        <v>233.24000549316409</v>
      </c>
      <c r="RW8" s="10">
        <v>695.96002197265625</v>
      </c>
      <c r="RX8" s="10">
        <v>115.59999847412109</v>
      </c>
      <c r="RY8" s="10">
        <v>70.169998168945313</v>
      </c>
      <c r="RZ8" s="10">
        <v>104.5</v>
      </c>
      <c r="SA8" s="10">
        <v>142.22999572753909</v>
      </c>
      <c r="SB8" s="10">
        <v>287.45001220703119</v>
      </c>
      <c r="SC8" s="10">
        <v>138.83000183105469</v>
      </c>
      <c r="SD8" s="10">
        <v>179.55999755859381</v>
      </c>
    </row>
    <row r="9" spans="1:498" x14ac:dyDescent="0.25">
      <c r="A9" s="13">
        <v>45078</v>
      </c>
      <c r="B9" s="10">
        <v>94.279998779296875</v>
      </c>
      <c r="C9" s="10">
        <v>64.580001831054688</v>
      </c>
      <c r="D9" s="10">
        <v>102.8199996948242</v>
      </c>
      <c r="E9" s="10">
        <v>133.44000244140619</v>
      </c>
      <c r="F9" s="10">
        <v>305.20001220703119</v>
      </c>
      <c r="G9" s="10">
        <v>426.75</v>
      </c>
      <c r="H9" s="10">
        <v>119.4700012207031</v>
      </c>
      <c r="I9" s="10">
        <v>19.879999160766602</v>
      </c>
      <c r="J9" s="10">
        <v>64.69000244140625</v>
      </c>
      <c r="K9" s="10">
        <v>116.2600021362305</v>
      </c>
      <c r="L9" s="10">
        <v>273.17001342773438</v>
      </c>
      <c r="M9" s="10">
        <v>112.1600036621094</v>
      </c>
      <c r="N9" s="10">
        <v>91.449996948242188</v>
      </c>
      <c r="O9" s="10">
        <v>195.53999328613281</v>
      </c>
      <c r="P9" s="10">
        <v>112.370002746582</v>
      </c>
      <c r="Q9" s="10">
        <v>297.20001220703119</v>
      </c>
      <c r="R9" s="10">
        <v>104.7600021362305</v>
      </c>
      <c r="S9" s="10">
        <v>50.909999847412109</v>
      </c>
      <c r="T9" s="10">
        <v>109.1999969482422</v>
      </c>
      <c r="U9" s="10">
        <v>123.7200012207031</v>
      </c>
      <c r="V9" s="10">
        <v>124.370002746582</v>
      </c>
      <c r="W9" s="10">
        <v>44.580001831054688</v>
      </c>
      <c r="X9" s="10">
        <v>122.76999664306641</v>
      </c>
      <c r="Y9" s="10">
        <v>9.7200002670288086</v>
      </c>
      <c r="Z9" s="10">
        <v>80.360000610351563</v>
      </c>
      <c r="AA9" s="10">
        <v>14.69999980926514</v>
      </c>
      <c r="AB9" s="10">
        <v>82.019996643066406</v>
      </c>
      <c r="AC9" s="10">
        <v>162.7200012207031</v>
      </c>
      <c r="AD9" s="10">
        <v>53.740001678466797</v>
      </c>
      <c r="AE9" s="10">
        <v>187.00999450683591</v>
      </c>
      <c r="AF9" s="10">
        <v>143.57000732421881</v>
      </c>
      <c r="AG9" s="10">
        <v>303.73001098632813</v>
      </c>
      <c r="AH9" s="10">
        <v>146.94999694824219</v>
      </c>
      <c r="AI9" s="10">
        <v>214.27000427246091</v>
      </c>
      <c r="AJ9" s="10">
        <v>75.819999694824219</v>
      </c>
      <c r="AK9" s="10">
        <v>180.4100036621094</v>
      </c>
      <c r="AL9" s="10">
        <v>323.239990234375</v>
      </c>
      <c r="AM9" s="10">
        <v>312.02999877929688</v>
      </c>
      <c r="AN9" s="10">
        <v>32.040000915527337</v>
      </c>
      <c r="AO9" s="10">
        <v>180.0899963378906</v>
      </c>
      <c r="AP9" s="10">
        <v>134.83000183105469</v>
      </c>
      <c r="AQ9" s="10">
        <v>90.209999084472656</v>
      </c>
      <c r="AR9" s="10">
        <v>69.669998168945313</v>
      </c>
      <c r="AS9" s="10">
        <v>70.550003051757813</v>
      </c>
      <c r="AT9" s="10">
        <v>166.67999267578119</v>
      </c>
      <c r="AU9" s="10">
        <v>202.1300048828125</v>
      </c>
      <c r="AV9" s="10">
        <v>120.90000152587891</v>
      </c>
      <c r="AW9" s="10">
        <v>15.810000419616699</v>
      </c>
      <c r="AX9" s="10">
        <v>112.0699996948242</v>
      </c>
      <c r="AY9" s="10">
        <v>203.30000305175781</v>
      </c>
      <c r="AZ9" s="10">
        <v>211.80999755859381</v>
      </c>
      <c r="BA9" s="10">
        <v>2373.580078125</v>
      </c>
      <c r="BB9" s="10">
        <v>176.69000244140619</v>
      </c>
      <c r="BC9" s="10">
        <v>159.24000549316409</v>
      </c>
      <c r="BD9" s="10">
        <v>192.13999938964841</v>
      </c>
      <c r="BE9" s="10">
        <v>28.610000610351559</v>
      </c>
      <c r="BF9" s="10">
        <v>51.630001068115227</v>
      </c>
      <c r="BG9" s="10">
        <v>27.780000686645511</v>
      </c>
      <c r="BH9" s="10">
        <v>41.25</v>
      </c>
      <c r="BI9" s="10">
        <v>36.150001525878913</v>
      </c>
      <c r="BJ9" s="10">
        <v>41.229999542236328</v>
      </c>
      <c r="BK9" s="10">
        <v>248.11000061035159</v>
      </c>
      <c r="BL9" s="10">
        <v>323.1199951171875</v>
      </c>
      <c r="BM9" s="10">
        <v>72.900001525878906</v>
      </c>
      <c r="BN9" s="10">
        <v>371.3599853515625</v>
      </c>
      <c r="BO9" s="10">
        <v>81.69000244140625</v>
      </c>
      <c r="BP9" s="10">
        <v>302.41000366210938</v>
      </c>
      <c r="BQ9" s="10">
        <v>668.84002685546875</v>
      </c>
      <c r="BR9" s="10">
        <v>87.139999389648438</v>
      </c>
      <c r="BS9" s="10">
        <v>207.96000671386719</v>
      </c>
      <c r="BT9" s="10">
        <v>2550</v>
      </c>
      <c r="BU9" s="10">
        <v>39.850353240966797</v>
      </c>
      <c r="BV9" s="10">
        <v>48.049999237060547</v>
      </c>
      <c r="BW9" s="10">
        <v>51.5</v>
      </c>
      <c r="BX9" s="10">
        <v>64.680000305175781</v>
      </c>
      <c r="BY9" s="10">
        <v>789.95001220703125</v>
      </c>
      <c r="BZ9" s="10">
        <v>149</v>
      </c>
      <c r="CA9" s="10">
        <v>62.75</v>
      </c>
      <c r="CB9" s="10">
        <v>61.810001373291023</v>
      </c>
      <c r="CC9" s="10">
        <v>115.86000061035161</v>
      </c>
      <c r="CD9" s="10">
        <v>91.019996643066406</v>
      </c>
      <c r="CE9" s="10">
        <v>232.38999938964841</v>
      </c>
      <c r="CF9" s="10">
        <v>41.659999847412109</v>
      </c>
      <c r="CG9" s="10">
        <v>104.620002746582</v>
      </c>
      <c r="CH9" s="10">
        <v>50.650001525878913</v>
      </c>
      <c r="CI9" s="10">
        <v>106.2399978637695</v>
      </c>
      <c r="CJ9" s="10">
        <v>83.419998168945313</v>
      </c>
      <c r="CK9" s="10">
        <v>71.80999755859375</v>
      </c>
      <c r="CL9" s="10">
        <v>11.85000038146973</v>
      </c>
      <c r="CM9" s="10">
        <v>41.5</v>
      </c>
      <c r="CN9" s="10">
        <v>37</v>
      </c>
      <c r="CO9" s="10">
        <v>209.07000732421881</v>
      </c>
      <c r="CP9" s="10">
        <v>133.6000061035156</v>
      </c>
      <c r="CQ9" s="10">
        <v>75.019996643066406</v>
      </c>
      <c r="CR9" s="10">
        <v>173.2799987792969</v>
      </c>
      <c r="CS9" s="10">
        <v>106.09999847412109</v>
      </c>
      <c r="CT9" s="10">
        <v>172.5899963378906</v>
      </c>
      <c r="CU9" s="10">
        <v>64.94000244140625</v>
      </c>
      <c r="CV9" s="10">
        <v>28.379999160766602</v>
      </c>
      <c r="CW9" s="10">
        <v>60.240001678466797</v>
      </c>
      <c r="CX9" s="10">
        <v>94.870002746582031</v>
      </c>
      <c r="CY9" s="10">
        <v>196.3399963378906</v>
      </c>
      <c r="CZ9" s="10">
        <v>52.700000762939453</v>
      </c>
      <c r="DA9" s="10">
        <v>328.01998901367188</v>
      </c>
      <c r="DB9" s="10">
        <v>152.1600036621094</v>
      </c>
      <c r="DC9" s="10">
        <v>2082.330078125</v>
      </c>
      <c r="DD9" s="10">
        <v>187.69999694824219</v>
      </c>
      <c r="DE9" s="10">
        <v>92.75</v>
      </c>
      <c r="DF9" s="10">
        <v>253.38999938964841</v>
      </c>
      <c r="DG9" s="10">
        <v>97.150001525878906</v>
      </c>
      <c r="DH9" s="10">
        <v>476</v>
      </c>
      <c r="DI9" s="10">
        <v>49.740001678466797</v>
      </c>
      <c r="DJ9" s="10">
        <v>44.840000152587891</v>
      </c>
      <c r="DK9" s="10">
        <v>26.389999389648441</v>
      </c>
      <c r="DL9" s="10">
        <v>158.6199951171875</v>
      </c>
      <c r="DM9" s="10">
        <v>180.02000427246091</v>
      </c>
      <c r="DN9" s="10">
        <v>57.439998626708977</v>
      </c>
      <c r="DO9" s="10">
        <v>60</v>
      </c>
      <c r="DP9" s="10">
        <v>62.189998626708977</v>
      </c>
      <c r="DQ9" s="10">
        <v>74.900001525878906</v>
      </c>
      <c r="DR9" s="10">
        <v>39.040000915527337</v>
      </c>
      <c r="DS9" s="10">
        <v>38.180000305175781</v>
      </c>
      <c r="DT9" s="10">
        <v>34.419998168945313</v>
      </c>
      <c r="DU9" s="10">
        <v>99.529998779296875</v>
      </c>
      <c r="DV9" s="10">
        <v>91.819999694824219</v>
      </c>
      <c r="DW9" s="10">
        <v>242.69999694824219</v>
      </c>
      <c r="DX9" s="10">
        <v>88.879997253417969</v>
      </c>
      <c r="DY9" s="10">
        <v>93.547500610351563</v>
      </c>
      <c r="DZ9" s="10">
        <v>43.895000457763672</v>
      </c>
      <c r="EA9" s="10">
        <v>30.870000839233398</v>
      </c>
      <c r="EB9" s="10">
        <v>53.860000610351563</v>
      </c>
      <c r="EC9" s="10">
        <v>79.730003356933594</v>
      </c>
      <c r="ED9" s="10">
        <v>512.5999755859375</v>
      </c>
      <c r="EE9" s="10">
        <v>22.969999313354489</v>
      </c>
      <c r="EF9" s="10">
        <v>112.1600036621094</v>
      </c>
      <c r="EG9" s="10">
        <v>31.379999160766602</v>
      </c>
      <c r="EH9" s="10">
        <v>206.86000061035159</v>
      </c>
      <c r="EI9" s="10">
        <v>68.879997253417969</v>
      </c>
      <c r="EJ9" s="10">
        <v>206.28546142578119</v>
      </c>
      <c r="EK9" s="10">
        <v>161.72999572753909</v>
      </c>
      <c r="EL9" s="10">
        <v>94.709999084472656</v>
      </c>
      <c r="EM9" s="10">
        <v>62.419998168945313</v>
      </c>
      <c r="EN9" s="10">
        <v>465.010009765625</v>
      </c>
      <c r="EO9" s="10">
        <v>352.57000732421881</v>
      </c>
      <c r="EP9" s="10">
        <v>36.380001068115227</v>
      </c>
      <c r="EQ9" s="10">
        <v>37.659999847412109</v>
      </c>
      <c r="ER9" s="10">
        <v>46.779998779296882</v>
      </c>
      <c r="ES9" s="10">
        <v>119.5800018310547</v>
      </c>
      <c r="ET9" s="10">
        <v>128.1000061035156</v>
      </c>
      <c r="EU9" s="10">
        <v>104.7799987792969</v>
      </c>
      <c r="EV9" s="10">
        <v>105.3300018310547</v>
      </c>
      <c r="EW9" s="10">
        <v>161.86000061035159</v>
      </c>
      <c r="EX9" s="10">
        <v>129.55999755859381</v>
      </c>
      <c r="EY9" s="10">
        <v>49.020000457763672</v>
      </c>
      <c r="EZ9" s="10">
        <v>296.67001342773438</v>
      </c>
      <c r="FA9" s="10">
        <v>135.05999755859381</v>
      </c>
      <c r="FB9" s="10">
        <v>49</v>
      </c>
      <c r="FC9" s="10">
        <v>108.48000335693359</v>
      </c>
      <c r="FD9" s="10">
        <v>107.2600021362305</v>
      </c>
      <c r="FE9" s="10">
        <v>88.120002746582031</v>
      </c>
      <c r="FF9" s="10">
        <v>67.44000244140625</v>
      </c>
      <c r="FG9" s="10">
        <v>77.75</v>
      </c>
      <c r="FH9" s="10">
        <v>179.03999328613281</v>
      </c>
      <c r="FI9" s="10">
        <v>43.259998321533203</v>
      </c>
      <c r="FJ9" s="10">
        <v>169.1199951171875</v>
      </c>
      <c r="FK9" s="10">
        <v>66.680000305175781</v>
      </c>
      <c r="FL9" s="10">
        <v>85.230003356933594</v>
      </c>
      <c r="FM9" s="10">
        <v>127.69000244140619</v>
      </c>
      <c r="FN9" s="10">
        <v>464.42999267578119</v>
      </c>
      <c r="FO9" s="10">
        <v>436.489990234375</v>
      </c>
      <c r="FP9" s="10">
        <v>79.349998474121094</v>
      </c>
      <c r="FQ9" s="10">
        <v>181.4700012207031</v>
      </c>
      <c r="FR9" s="10">
        <v>97.379997253417969</v>
      </c>
      <c r="FS9" s="10">
        <v>108.15000152587891</v>
      </c>
      <c r="FT9" s="10">
        <v>257.94000244140619</v>
      </c>
      <c r="FU9" s="10">
        <v>35.099998474121087</v>
      </c>
      <c r="FV9" s="10">
        <v>208.55000305175781</v>
      </c>
      <c r="FW9" s="10">
        <v>753.260009765625</v>
      </c>
      <c r="FX9" s="10">
        <v>61.610000610351563</v>
      </c>
      <c r="FY9" s="10">
        <v>219.16999816894531</v>
      </c>
      <c r="FZ9" s="10">
        <v>182.88999938964841</v>
      </c>
      <c r="GA9" s="10">
        <v>81.989997863769531</v>
      </c>
      <c r="GB9" s="10">
        <v>339.42999267578119</v>
      </c>
      <c r="GC9" s="10">
        <v>57.200000762939453</v>
      </c>
      <c r="GD9" s="10">
        <v>68.830001831054688</v>
      </c>
      <c r="GE9" s="10">
        <v>39.479999542236328</v>
      </c>
      <c r="GF9" s="10">
        <v>98.660003662109375</v>
      </c>
      <c r="GG9" s="10">
        <v>111.48000335693359</v>
      </c>
      <c r="GH9" s="10">
        <v>143.36000061035159</v>
      </c>
      <c r="GI9" s="10">
        <v>103.36000061035161</v>
      </c>
      <c r="GJ9" s="10">
        <v>146.25</v>
      </c>
      <c r="GK9" s="10">
        <v>390.29000854492188</v>
      </c>
      <c r="GL9" s="10">
        <v>793.239990234375</v>
      </c>
      <c r="GM9" s="10">
        <v>53.900001525878913</v>
      </c>
      <c r="GN9" s="10">
        <v>87.75</v>
      </c>
      <c r="GO9" s="10">
        <v>217.28999328613281</v>
      </c>
      <c r="GP9" s="10">
        <v>55</v>
      </c>
      <c r="GQ9" s="10">
        <v>24.79000091552734</v>
      </c>
      <c r="GR9" s="10">
        <v>208.74000549316409</v>
      </c>
      <c r="GS9" s="10">
        <v>37.180000305175781</v>
      </c>
      <c r="GT9" s="10">
        <v>112.75</v>
      </c>
      <c r="GU9" s="10">
        <v>228</v>
      </c>
      <c r="GV9" s="10">
        <v>104.2900009155273</v>
      </c>
      <c r="GW9" s="10">
        <v>12.10999965667725</v>
      </c>
      <c r="GX9" s="10">
        <v>68.639999389648438</v>
      </c>
      <c r="GY9" s="10">
        <v>65.470001220703125</v>
      </c>
      <c r="GZ9" s="10">
        <v>31.309999465942379</v>
      </c>
      <c r="HA9" s="10">
        <v>29.20000076293945</v>
      </c>
      <c r="HB9" s="10">
        <v>24.420000076293949</v>
      </c>
      <c r="HC9" s="10">
        <v>35.470001220703118</v>
      </c>
      <c r="HD9" s="10">
        <v>103.870002746582</v>
      </c>
      <c r="HE9" s="10">
        <v>340.239990234375</v>
      </c>
      <c r="HF9" s="10">
        <v>79.830001831054688</v>
      </c>
      <c r="HG9" s="10">
        <v>17.54999923706055</v>
      </c>
      <c r="HH9" s="10">
        <v>113.55999755859381</v>
      </c>
      <c r="HI9" s="10">
        <v>205.33000183105469</v>
      </c>
      <c r="HJ9" s="10">
        <v>104.6699981689453</v>
      </c>
      <c r="HK9" s="10">
        <v>83.889999389648438</v>
      </c>
      <c r="HL9" s="10">
        <v>33.020000457763672</v>
      </c>
      <c r="HM9" s="10">
        <v>149.2200012207031</v>
      </c>
      <c r="HN9" s="10">
        <v>76.209999084472656</v>
      </c>
      <c r="HO9" s="10">
        <v>98.839996337890625</v>
      </c>
      <c r="HP9" s="10">
        <v>103.7799987792969</v>
      </c>
      <c r="HQ9" s="10">
        <v>316.39999389648438</v>
      </c>
      <c r="HR9" s="10">
        <v>30</v>
      </c>
      <c r="HS9" s="10">
        <v>68.889999389648438</v>
      </c>
      <c r="HT9" s="10">
        <v>60.020000457763672</v>
      </c>
      <c r="HU9" s="10">
        <v>267.8699951171875</v>
      </c>
      <c r="HV9" s="10">
        <v>20.139999389648441</v>
      </c>
      <c r="HW9" s="10">
        <v>73.430000305175781</v>
      </c>
      <c r="HX9" s="10">
        <v>259.66000366210938</v>
      </c>
      <c r="HY9" s="10">
        <v>129.05000305175781</v>
      </c>
      <c r="HZ9" s="10">
        <v>14.670000076293951</v>
      </c>
      <c r="IA9" s="10">
        <v>137.66999816894531</v>
      </c>
      <c r="IB9" s="10">
        <v>79.150001525878906</v>
      </c>
      <c r="IC9" s="10">
        <v>288.3900146484375</v>
      </c>
      <c r="ID9" s="10">
        <v>193.86000061035159</v>
      </c>
      <c r="IE9" s="10">
        <v>40.200000762939453</v>
      </c>
      <c r="IF9" s="10">
        <v>16.75</v>
      </c>
      <c r="IG9" s="10">
        <v>43.729999542236328</v>
      </c>
      <c r="IH9" s="10">
        <v>29.420000076293949</v>
      </c>
      <c r="II9" s="10">
        <v>287.25</v>
      </c>
      <c r="IJ9" s="10">
        <v>515.1500244140625</v>
      </c>
      <c r="IK9" s="10">
        <v>10.460000038146971</v>
      </c>
      <c r="IL9" s="10">
        <v>201.21000671386719</v>
      </c>
      <c r="IM9" s="10">
        <v>129.82000732421881</v>
      </c>
      <c r="IN9" s="10">
        <v>201.32000732421881</v>
      </c>
      <c r="IO9" s="10">
        <v>469.83999633789063</v>
      </c>
      <c r="IP9" s="10">
        <v>221.97999572753909</v>
      </c>
      <c r="IQ9" s="10">
        <v>199.0899963378906</v>
      </c>
      <c r="IR9" s="10">
        <v>61.509998321533203</v>
      </c>
      <c r="IS9" s="10">
        <v>58.150001525878913</v>
      </c>
      <c r="IT9" s="10">
        <v>272.48001098632813</v>
      </c>
      <c r="IU9" s="10">
        <v>31.129999160766602</v>
      </c>
      <c r="IV9" s="10">
        <v>106.370002746582</v>
      </c>
      <c r="IW9" s="10">
        <v>76.599998474121094</v>
      </c>
      <c r="IX9" s="10">
        <v>29.170000076293949</v>
      </c>
      <c r="IY9" s="10">
        <v>37.75</v>
      </c>
      <c r="IZ9" s="10">
        <v>422.1199951171875</v>
      </c>
      <c r="JA9" s="10">
        <v>310.54000854492188</v>
      </c>
      <c r="JB9" s="10">
        <v>14.739999771118161</v>
      </c>
      <c r="JC9" s="10">
        <v>33.849998474121087</v>
      </c>
      <c r="JD9" s="10">
        <v>198.9700012207031</v>
      </c>
      <c r="JE9" s="10">
        <v>53.150001525878913</v>
      </c>
      <c r="JF9" s="10">
        <v>169.33000183105469</v>
      </c>
      <c r="JG9" s="10">
        <v>89.949996948242188</v>
      </c>
      <c r="JH9" s="10">
        <v>151.16999816894531</v>
      </c>
      <c r="JI9" s="10">
        <v>110.8199996948242</v>
      </c>
      <c r="JJ9" s="10">
        <v>154.53999328613281</v>
      </c>
      <c r="JK9" s="10">
        <v>59.959999084472663</v>
      </c>
      <c r="JL9" s="10">
        <v>137.58000183105469</v>
      </c>
      <c r="JM9" s="10">
        <v>30.54999923706055</v>
      </c>
      <c r="JN9" s="10">
        <v>62</v>
      </c>
      <c r="JO9" s="10">
        <v>31.170000076293949</v>
      </c>
      <c r="JP9" s="10">
        <v>9.619999885559082</v>
      </c>
      <c r="JQ9" s="10">
        <v>163.13999938964841</v>
      </c>
      <c r="JR9" s="10">
        <v>133.92999267578119</v>
      </c>
      <c r="JS9" s="10">
        <v>18.20999908447266</v>
      </c>
      <c r="JT9" s="10">
        <v>16.260000228881839</v>
      </c>
      <c r="JU9" s="10">
        <v>452.52999877929688</v>
      </c>
      <c r="JV9" s="10">
        <v>38.189998626708977</v>
      </c>
      <c r="JW9" s="10">
        <v>44.659999847412109</v>
      </c>
      <c r="JX9" s="10">
        <v>176.9100036621094</v>
      </c>
      <c r="JY9" s="10">
        <v>182.50859069824219</v>
      </c>
      <c r="JZ9" s="10">
        <v>619.8599853515625</v>
      </c>
      <c r="KA9" s="10">
        <v>112.0699996948242</v>
      </c>
      <c r="KB9" s="10">
        <v>55.450000762939453</v>
      </c>
      <c r="KC9" s="10">
        <v>78.470001220703125</v>
      </c>
      <c r="KD9" s="10">
        <v>108.13999938964839</v>
      </c>
      <c r="KE9" s="10">
        <v>355.489990234375</v>
      </c>
      <c r="KF9" s="10">
        <v>81.129997253417969</v>
      </c>
      <c r="KG9" s="10">
        <v>449.67001342773438</v>
      </c>
      <c r="KH9" s="10">
        <v>56.389999389648438</v>
      </c>
      <c r="KI9" s="10">
        <v>203.91999816894531</v>
      </c>
      <c r="KJ9" s="10">
        <v>328.35000610351563</v>
      </c>
      <c r="KK9" s="10">
        <v>86.660003662109375</v>
      </c>
      <c r="KL9" s="10">
        <v>121.3000030517578</v>
      </c>
      <c r="KM9" s="10">
        <v>22.469999313354489</v>
      </c>
      <c r="KN9" s="10">
        <v>105.870002746582</v>
      </c>
      <c r="KO9" s="10">
        <v>277.32998657226563</v>
      </c>
      <c r="KP9" s="10">
        <v>171.13999938964841</v>
      </c>
      <c r="KQ9" s="10">
        <v>174.41999816894531</v>
      </c>
      <c r="KR9" s="10">
        <v>404.39999389648438</v>
      </c>
      <c r="KS9" s="10">
        <v>49.060001373291023</v>
      </c>
      <c r="KT9" s="10">
        <v>370.8800048828125</v>
      </c>
      <c r="KU9" s="10">
        <v>38.020000457763672</v>
      </c>
      <c r="KV9" s="10">
        <v>87.580001831054688</v>
      </c>
      <c r="KW9" s="10">
        <v>287.8699951171875</v>
      </c>
      <c r="KX9" s="10">
        <v>389.23001098632813</v>
      </c>
      <c r="KY9" s="10">
        <v>82.75</v>
      </c>
      <c r="KZ9" s="10">
        <v>110.9300003051758</v>
      </c>
      <c r="LA9" s="10">
        <v>272.6099853515625</v>
      </c>
      <c r="LB9" s="10">
        <v>50.380001068115227</v>
      </c>
      <c r="LC9" s="10">
        <v>1329.319946289062</v>
      </c>
      <c r="LD9" s="10">
        <v>39.119998931884773</v>
      </c>
      <c r="LE9" s="10">
        <v>76.660003662109375</v>
      </c>
      <c r="LF9" s="10">
        <v>69.089996337890625</v>
      </c>
      <c r="LG9" s="10">
        <v>332.57998657226563</v>
      </c>
      <c r="LH9" s="10">
        <v>146.91999816894531</v>
      </c>
      <c r="LI9" s="10">
        <v>128.52000427246091</v>
      </c>
      <c r="LJ9" s="10">
        <v>92.419998168945313</v>
      </c>
      <c r="LK9" s="10">
        <v>282.97000122070313</v>
      </c>
      <c r="LL9" s="10">
        <v>62.330001831054688</v>
      </c>
      <c r="LM9" s="10">
        <v>73.610000610351563</v>
      </c>
      <c r="LN9" s="10">
        <v>499.29000854492188</v>
      </c>
      <c r="LO9" s="10">
        <v>59.360000610351563</v>
      </c>
      <c r="LP9" s="10">
        <v>323.67001342773438</v>
      </c>
      <c r="LQ9" s="10">
        <v>82.069999694824219</v>
      </c>
      <c r="LR9" s="10">
        <v>31.70999908447266</v>
      </c>
      <c r="LS9" s="10">
        <v>282.22000122070313</v>
      </c>
      <c r="LT9" s="10">
        <v>466.97000122070313</v>
      </c>
      <c r="LU9" s="10">
        <v>55.029998779296882</v>
      </c>
      <c r="LV9" s="10">
        <v>71.959999084472656</v>
      </c>
      <c r="LW9" s="10">
        <v>403.1300048828125</v>
      </c>
      <c r="LX9" s="10">
        <v>42.470001220703118</v>
      </c>
      <c r="LY9" s="10">
        <v>18.690000534057621</v>
      </c>
      <c r="LZ9" s="10">
        <v>18.879999160766602</v>
      </c>
      <c r="MA9" s="10">
        <v>72.959999084472656</v>
      </c>
      <c r="MB9" s="10">
        <v>103.629997253418</v>
      </c>
      <c r="MC9" s="10">
        <v>26.670000076293949</v>
      </c>
      <c r="MD9" s="10">
        <v>221.77000427246091</v>
      </c>
      <c r="ME9" s="10">
        <v>212.21000671386719</v>
      </c>
      <c r="MF9" s="10">
        <v>73.040000915527344</v>
      </c>
      <c r="MG9" s="10">
        <v>438.510009765625</v>
      </c>
      <c r="MH9" s="10">
        <v>15.510000228881839</v>
      </c>
      <c r="MI9" s="10">
        <v>32.400001525878913</v>
      </c>
      <c r="MJ9" s="10">
        <v>133.0299987792969</v>
      </c>
      <c r="MK9" s="10">
        <v>397.70001220703119</v>
      </c>
      <c r="ML9" s="10">
        <v>5570.60986328125</v>
      </c>
      <c r="MM9" s="10">
        <v>181</v>
      </c>
      <c r="MN9" s="10">
        <v>895.280029296875</v>
      </c>
      <c r="MO9" s="10">
        <v>58.119998931884773</v>
      </c>
      <c r="MP9" s="10">
        <v>317.64999389648438</v>
      </c>
      <c r="MQ9" s="10">
        <v>89.300003051757813</v>
      </c>
      <c r="MR9" s="10">
        <v>87.949996948242188</v>
      </c>
      <c r="MS9" s="10">
        <v>56.909999847412109</v>
      </c>
      <c r="MT9" s="10">
        <v>105.9899978637695</v>
      </c>
      <c r="MU9" s="10">
        <v>81.510002136230469</v>
      </c>
      <c r="MV9" s="10">
        <v>70.019996643066406</v>
      </c>
      <c r="MW9" s="10">
        <v>124.8300018310547</v>
      </c>
      <c r="MX9" s="10">
        <v>216.78999328613281</v>
      </c>
      <c r="MY9" s="10">
        <v>15.39000034332275</v>
      </c>
      <c r="MZ9" s="10">
        <v>325.989990234375</v>
      </c>
      <c r="NA9" s="10">
        <v>107.1999969482422</v>
      </c>
      <c r="NB9" s="10">
        <v>281.1099853515625</v>
      </c>
      <c r="NC9" s="10">
        <v>63.049999237060547</v>
      </c>
      <c r="ND9" s="10">
        <v>56.319999694824219</v>
      </c>
      <c r="NE9" s="10">
        <v>182.19000244140619</v>
      </c>
      <c r="NF9" s="10">
        <v>38.020000457763672</v>
      </c>
      <c r="NG9" s="10">
        <v>16.559999465942379</v>
      </c>
      <c r="NH9" s="10">
        <v>90.160003662109375</v>
      </c>
      <c r="NI9" s="10">
        <v>93.050003051757813</v>
      </c>
      <c r="NJ9" s="10">
        <v>76.069999694824219</v>
      </c>
      <c r="NK9" s="10">
        <v>200.80000305175781</v>
      </c>
      <c r="NL9" s="10">
        <v>119.7399978637695</v>
      </c>
      <c r="NM9" s="10">
        <v>313.01998901367188</v>
      </c>
      <c r="NN9" s="10">
        <v>134.97999572753909</v>
      </c>
      <c r="NO9" s="10">
        <v>26.10000038146973</v>
      </c>
      <c r="NP9" s="10">
        <v>66.980003356933594</v>
      </c>
      <c r="NQ9" s="10">
        <v>128.33000183105469</v>
      </c>
      <c r="NR9" s="10">
        <v>122.63999938964839</v>
      </c>
      <c r="NS9" s="10">
        <v>80.129997253417969</v>
      </c>
      <c r="NT9" s="10">
        <v>59.900001525878913</v>
      </c>
      <c r="NU9" s="10">
        <v>135.07000732421881</v>
      </c>
      <c r="NV9" s="10">
        <v>283.42999267578119</v>
      </c>
      <c r="NW9" s="10">
        <v>67.300003051757813</v>
      </c>
      <c r="NX9" s="10">
        <v>98.430000305175781</v>
      </c>
      <c r="NY9" s="10">
        <v>176.05000305175781</v>
      </c>
      <c r="NZ9" s="10">
        <v>115.8300018310547</v>
      </c>
      <c r="OA9" s="10">
        <v>134.05000305175781</v>
      </c>
      <c r="OB9" s="10">
        <v>106.0899963378906</v>
      </c>
      <c r="OC9" s="10">
        <v>91.139999389648438</v>
      </c>
      <c r="OD9" s="10">
        <v>94.089996337890625</v>
      </c>
      <c r="OE9" s="10">
        <v>59.240001678466797</v>
      </c>
      <c r="OF9" s="10">
        <v>56.400001525878913</v>
      </c>
      <c r="OG9" s="10">
        <v>17.360000610351559</v>
      </c>
      <c r="OH9" s="10">
        <v>142.72999572753909</v>
      </c>
      <c r="OI9" s="10">
        <v>218.69000244140619</v>
      </c>
      <c r="OJ9" s="10">
        <v>115.6699981689453</v>
      </c>
      <c r="OK9" s="10">
        <v>66.360000610351563</v>
      </c>
      <c r="OL9" s="10">
        <v>280.47000122070313</v>
      </c>
      <c r="OM9" s="10">
        <v>40.220001220703118</v>
      </c>
      <c r="ON9" s="10">
        <v>452.79998779296881</v>
      </c>
      <c r="OO9" s="10">
        <v>100.90000152587891</v>
      </c>
      <c r="OP9" s="10">
        <v>83.230003356933594</v>
      </c>
      <c r="OQ9" s="10">
        <v>368.989990234375</v>
      </c>
      <c r="OR9" s="10">
        <v>212.8999938964844</v>
      </c>
      <c r="OS9" s="10">
        <v>220.69000244140619</v>
      </c>
      <c r="OT9" s="10">
        <v>44.979999542236328</v>
      </c>
      <c r="OU9" s="10">
        <v>61.299999237060547</v>
      </c>
      <c r="OV9" s="10">
        <v>72.089996337890625</v>
      </c>
      <c r="OW9" s="10">
        <v>542.96002197265625</v>
      </c>
      <c r="OX9" s="10">
        <v>234.88999938964841</v>
      </c>
      <c r="OY9" s="10">
        <v>103.40000152587891</v>
      </c>
      <c r="OZ9" s="10">
        <v>105.88999938964839</v>
      </c>
      <c r="PA9" s="10">
        <v>144.8999938964844</v>
      </c>
      <c r="PB9" s="10">
        <v>252.66999816894531</v>
      </c>
      <c r="PC9" s="10">
        <v>69.180000305175781</v>
      </c>
      <c r="PD9" s="10">
        <v>29.110000610351559</v>
      </c>
      <c r="PE9" s="10">
        <v>76.139999389648438</v>
      </c>
      <c r="PF9" s="10">
        <v>97.519996643066406</v>
      </c>
      <c r="PG9" s="10">
        <v>69.529998779296875</v>
      </c>
      <c r="PH9" s="10">
        <v>92.169998168945313</v>
      </c>
      <c r="PI9" s="10">
        <v>202.41999816894531</v>
      </c>
      <c r="PJ9" s="10">
        <v>278.57000732421881</v>
      </c>
      <c r="PK9" s="10">
        <v>231.02000427246091</v>
      </c>
      <c r="PL9" s="10">
        <v>454.54998779296881</v>
      </c>
      <c r="PM9" s="10">
        <v>71.279998779296875</v>
      </c>
      <c r="PN9" s="10">
        <v>138.9100036621094</v>
      </c>
      <c r="PO9" s="10">
        <v>108.379997253418</v>
      </c>
      <c r="PP9" s="10">
        <v>137.5899963378906</v>
      </c>
      <c r="PQ9" s="10">
        <v>39.729999542236328</v>
      </c>
      <c r="PR9" s="10">
        <v>68.800003051757813</v>
      </c>
      <c r="PS9" s="10">
        <v>131.1600036621094</v>
      </c>
      <c r="PT9" s="10">
        <v>122.5500030517578</v>
      </c>
      <c r="PU9" s="10">
        <v>391.41000366210938</v>
      </c>
      <c r="PV9" s="10">
        <v>233.77000427246091</v>
      </c>
      <c r="PW9" s="10">
        <v>103.09999847412109</v>
      </c>
      <c r="PX9" s="10">
        <v>207.52000427246091</v>
      </c>
      <c r="PY9" s="10">
        <v>175.80999755859381</v>
      </c>
      <c r="PZ9" s="10">
        <v>62.310001373291023</v>
      </c>
      <c r="QA9" s="10">
        <v>519.3800048828125</v>
      </c>
      <c r="QB9" s="10">
        <v>76.650001525878906</v>
      </c>
      <c r="QC9" s="10">
        <v>206.32000732421881</v>
      </c>
      <c r="QD9" s="10">
        <v>165.9100036621094</v>
      </c>
      <c r="QE9" s="10">
        <v>778.1500244140625</v>
      </c>
      <c r="QF9" s="10">
        <v>171.30000305175781</v>
      </c>
      <c r="QG9" s="10">
        <v>48.029998779296882</v>
      </c>
      <c r="QH9" s="10">
        <v>30.95999908447266</v>
      </c>
      <c r="QI9" s="10">
        <v>398.98001098632813</v>
      </c>
      <c r="QJ9" s="10">
        <v>50.610000610351563</v>
      </c>
      <c r="QK9" s="10">
        <v>30.520000457763668</v>
      </c>
      <c r="QL9" s="10">
        <v>38.479999542236328</v>
      </c>
      <c r="QM9" s="10">
        <v>40.090000152587891</v>
      </c>
      <c r="QN9" s="10">
        <v>403.82998657226563</v>
      </c>
      <c r="QO9" s="10">
        <v>195.67999267578119</v>
      </c>
      <c r="QP9" s="10">
        <v>47.409999847412109</v>
      </c>
      <c r="QQ9" s="10">
        <v>167.83000183105469</v>
      </c>
      <c r="QR9" s="10">
        <v>339.29000854492188</v>
      </c>
      <c r="QS9" s="10">
        <v>493.6300048828125</v>
      </c>
      <c r="QT9" s="10">
        <v>131.13999938964841</v>
      </c>
      <c r="QU9" s="10">
        <v>105.9300003051758</v>
      </c>
      <c r="QV9" s="10">
        <v>43.529998779296882</v>
      </c>
      <c r="QW9" s="10">
        <v>223.2799987792969</v>
      </c>
      <c r="QX9" s="10">
        <v>219.9700012207031</v>
      </c>
      <c r="QY9" s="10">
        <v>35.720001220703118</v>
      </c>
      <c r="QZ9" s="10">
        <v>323.6199951171875</v>
      </c>
      <c r="RA9" s="10">
        <v>17.020000457763668</v>
      </c>
      <c r="RB9" s="10">
        <v>9.1800003051757813</v>
      </c>
      <c r="RC9" s="10">
        <v>30.940000534057621</v>
      </c>
      <c r="RD9" s="10">
        <v>226.5</v>
      </c>
      <c r="RE9" s="10">
        <v>198.80000305175781</v>
      </c>
      <c r="RF9" s="10">
        <v>56.909999847412109</v>
      </c>
      <c r="RG9" s="10">
        <v>93.050003051757813</v>
      </c>
      <c r="RH9" s="10">
        <v>30.319999694824219</v>
      </c>
      <c r="RI9" s="10">
        <v>49.136665344238281</v>
      </c>
      <c r="RJ9" s="10">
        <v>88.589996337890625</v>
      </c>
      <c r="RK9" s="10">
        <v>11.35000038146973</v>
      </c>
      <c r="RL9" s="10">
        <v>162.80000305175781</v>
      </c>
      <c r="RM9" s="10">
        <v>256.04000854492188</v>
      </c>
      <c r="RN9" s="10">
        <v>86.19000244140625</v>
      </c>
      <c r="RO9" s="10">
        <v>40.060001373291023</v>
      </c>
      <c r="RP9" s="10">
        <v>74.610000610351563</v>
      </c>
      <c r="RQ9" s="10">
        <v>341.52999877929688</v>
      </c>
      <c r="RR9" s="10">
        <v>38.970001220703118</v>
      </c>
      <c r="RS9" s="10">
        <v>27.520000457763668</v>
      </c>
      <c r="RT9" s="10">
        <v>28.54000091552734</v>
      </c>
      <c r="RU9" s="10">
        <v>29.110000610351559</v>
      </c>
      <c r="RV9" s="10">
        <v>220.2200012207031</v>
      </c>
      <c r="RW9" s="10">
        <v>655.30999755859375</v>
      </c>
      <c r="RX9" s="10">
        <v>96.480003356933594</v>
      </c>
      <c r="RY9" s="10">
        <v>63.549999237060547</v>
      </c>
      <c r="RZ9" s="10">
        <v>102.129997253418</v>
      </c>
      <c r="SA9" s="10">
        <v>132.25</v>
      </c>
      <c r="SB9" s="10">
        <v>266.20001220703119</v>
      </c>
      <c r="SC9" s="10">
        <v>127.36000061035161</v>
      </c>
      <c r="SD9" s="10">
        <v>166</v>
      </c>
    </row>
    <row r="10" spans="1:498" x14ac:dyDescent="0.25">
      <c r="A10" s="13">
        <v>45108</v>
      </c>
      <c r="B10" s="10">
        <v>101.13999938964839</v>
      </c>
      <c r="C10" s="10">
        <v>72.370002746582031</v>
      </c>
      <c r="D10" s="10">
        <v>107.2200012207031</v>
      </c>
      <c r="E10" s="10">
        <v>135.00999450683591</v>
      </c>
      <c r="F10" s="10">
        <v>310.97000122070313</v>
      </c>
      <c r="G10" s="10">
        <v>485.20999145507813</v>
      </c>
      <c r="H10" s="10">
        <v>115.8199996948242</v>
      </c>
      <c r="I10" s="10">
        <v>21.069999694824219</v>
      </c>
      <c r="J10" s="10">
        <v>70.19000244140625</v>
      </c>
      <c r="K10" s="10">
        <v>119.3199996948242</v>
      </c>
      <c r="L10" s="10">
        <v>297.07000732421881</v>
      </c>
      <c r="M10" s="10">
        <v>132.3500061035156</v>
      </c>
      <c r="N10" s="10">
        <v>91.319999694824219</v>
      </c>
      <c r="O10" s="10">
        <v>229.25999450683591</v>
      </c>
      <c r="P10" s="10">
        <v>116.120002746582</v>
      </c>
      <c r="Q10" s="10">
        <v>344.58999633789063</v>
      </c>
      <c r="R10" s="10">
        <v>118.75</v>
      </c>
      <c r="S10" s="10">
        <v>53.080001831054688</v>
      </c>
      <c r="T10" s="10">
        <v>110.5100021362305</v>
      </c>
      <c r="U10" s="10">
        <v>119.90000152587891</v>
      </c>
      <c r="V10" s="10">
        <v>120.55999755859381</v>
      </c>
      <c r="W10" s="10">
        <v>45.919998168945313</v>
      </c>
      <c r="X10" s="10">
        <v>130.2200012207031</v>
      </c>
      <c r="Y10" s="10">
        <v>10.079999923706049</v>
      </c>
      <c r="Z10" s="10">
        <v>82.849998474121094</v>
      </c>
      <c r="AA10" s="10">
        <v>18.10000038146973</v>
      </c>
      <c r="AB10" s="10">
        <v>85.319999694824219</v>
      </c>
      <c r="AC10" s="10">
        <v>175.44000244140619</v>
      </c>
      <c r="AD10" s="10">
        <v>57.939998626708977</v>
      </c>
      <c r="AE10" s="10">
        <v>195.03999328613281</v>
      </c>
      <c r="AF10" s="10">
        <v>143.9700012207031</v>
      </c>
      <c r="AG10" s="10">
        <v>335.07998657226563</v>
      </c>
      <c r="AH10" s="10">
        <v>160.80999755859381</v>
      </c>
      <c r="AI10" s="10">
        <v>225.00999450683591</v>
      </c>
      <c r="AJ10" s="10">
        <v>84.080001831054688</v>
      </c>
      <c r="AK10" s="10">
        <v>194.33000183105469</v>
      </c>
      <c r="AL10" s="10">
        <v>326.95001220703119</v>
      </c>
      <c r="AM10" s="10">
        <v>338.69000244140619</v>
      </c>
      <c r="AN10" s="10">
        <v>34.060001373291023</v>
      </c>
      <c r="AO10" s="10">
        <v>192.46000671386719</v>
      </c>
      <c r="AP10" s="10">
        <v>145.4700012207031</v>
      </c>
      <c r="AQ10" s="10">
        <v>103.0299987792969</v>
      </c>
      <c r="AR10" s="10">
        <v>73.989997863769531</v>
      </c>
      <c r="AS10" s="10">
        <v>76.730003356933594</v>
      </c>
      <c r="AT10" s="10">
        <v>159.8999938964844</v>
      </c>
      <c r="AU10" s="10">
        <v>216.17999267578119</v>
      </c>
      <c r="AV10" s="10">
        <v>125.8399963378906</v>
      </c>
      <c r="AW10" s="10">
        <v>16.120000839233398</v>
      </c>
      <c r="AX10" s="10">
        <v>117.3000030517578</v>
      </c>
      <c r="AY10" s="10">
        <v>203.69999694824219</v>
      </c>
      <c r="AZ10" s="10">
        <v>218.72999572753909</v>
      </c>
      <c r="BA10" s="10">
        <v>2483.47998046875</v>
      </c>
      <c r="BB10" s="10">
        <v>190.5</v>
      </c>
      <c r="BC10" s="10">
        <v>173.47999572753909</v>
      </c>
      <c r="BD10" s="10">
        <v>194.58000183105469</v>
      </c>
      <c r="BE10" s="10">
        <v>31.60000038146973</v>
      </c>
      <c r="BF10" s="10">
        <v>58.520000457763672</v>
      </c>
      <c r="BG10" s="10">
        <v>29.20000076293945</v>
      </c>
      <c r="BH10" s="10">
        <v>45.069999694824219</v>
      </c>
      <c r="BI10" s="10">
        <v>37.900001525878913</v>
      </c>
      <c r="BJ10" s="10">
        <v>44.680000305175781</v>
      </c>
      <c r="BK10" s="10">
        <v>261.92001342773438</v>
      </c>
      <c r="BL10" s="10">
        <v>342</v>
      </c>
      <c r="BM10" s="10">
        <v>82.169998168945313</v>
      </c>
      <c r="BN10" s="10">
        <v>377.55999755859381</v>
      </c>
      <c r="BO10" s="10">
        <v>81.139999389648438</v>
      </c>
      <c r="BP10" s="10">
        <v>285.44000244140619</v>
      </c>
      <c r="BQ10" s="10">
        <v>693.58001708984375</v>
      </c>
      <c r="BR10" s="10">
        <v>94.760002136230469</v>
      </c>
      <c r="BS10" s="10">
        <v>210.91999816894531</v>
      </c>
      <c r="BT10" s="10">
        <v>2720.7900390625</v>
      </c>
      <c r="BU10" s="10">
        <v>43.943660736083977</v>
      </c>
      <c r="BV10" s="10">
        <v>58.439998626708977</v>
      </c>
      <c r="BW10" s="10">
        <v>53.540000915527337</v>
      </c>
      <c r="BX10" s="10">
        <v>64.430000305175781</v>
      </c>
      <c r="BY10" s="10">
        <v>876.44000244140625</v>
      </c>
      <c r="BZ10" s="10">
        <v>163.88999938964841</v>
      </c>
      <c r="CA10" s="10">
        <v>67.419998168945313</v>
      </c>
      <c r="CB10" s="10">
        <v>66.819999694824219</v>
      </c>
      <c r="CC10" s="10">
        <v>136.33000183105469</v>
      </c>
      <c r="CD10" s="10">
        <v>97.120002746582031</v>
      </c>
      <c r="CE10" s="10">
        <v>235.3999938964844</v>
      </c>
      <c r="CF10" s="10">
        <v>50.599998474121087</v>
      </c>
      <c r="CG10" s="10">
        <v>110.120002746582</v>
      </c>
      <c r="CH10" s="10">
        <v>46.509998321533203</v>
      </c>
      <c r="CI10" s="10">
        <v>111.0500030517578</v>
      </c>
      <c r="CJ10" s="10">
        <v>94.589996337890625</v>
      </c>
      <c r="CK10" s="10">
        <v>82.160003662109375</v>
      </c>
      <c r="CL10" s="10">
        <v>18.95999908447266</v>
      </c>
      <c r="CM10" s="10">
        <v>50.040000915527337</v>
      </c>
      <c r="CN10" s="10">
        <v>44.290000915527337</v>
      </c>
      <c r="CO10" s="10">
        <v>247.33000183105469</v>
      </c>
      <c r="CP10" s="10">
        <v>137.3999938964844</v>
      </c>
      <c r="CQ10" s="10">
        <v>81.800003051757813</v>
      </c>
      <c r="CR10" s="10">
        <v>183.2200012207031</v>
      </c>
      <c r="CS10" s="10">
        <v>116.9199981689453</v>
      </c>
      <c r="CT10" s="10">
        <v>190.91999816894531</v>
      </c>
      <c r="CU10" s="10">
        <v>67.370002746582031</v>
      </c>
      <c r="CV10" s="10">
        <v>29.45000076293945</v>
      </c>
      <c r="CW10" s="10">
        <v>70.430000305175781</v>
      </c>
      <c r="CX10" s="10">
        <v>95.519996643066406</v>
      </c>
      <c r="CY10" s="10">
        <v>208.66999816894531</v>
      </c>
      <c r="CZ10" s="10">
        <v>57.720001220703118</v>
      </c>
      <c r="DA10" s="10">
        <v>368.20001220703119</v>
      </c>
      <c r="DB10" s="10">
        <v>157.21000671386719</v>
      </c>
      <c r="DC10" s="10">
        <v>2123.5400390625</v>
      </c>
      <c r="DD10" s="10">
        <v>192.30000305175781</v>
      </c>
      <c r="DE10" s="10">
        <v>100.1999969482422</v>
      </c>
      <c r="DF10" s="10">
        <v>280.32998657226563</v>
      </c>
      <c r="DG10" s="10">
        <v>98.319999694824219</v>
      </c>
      <c r="DH10" s="10">
        <v>487.42999267578119</v>
      </c>
      <c r="DI10" s="10">
        <v>51.819999694824219</v>
      </c>
      <c r="DJ10" s="10">
        <v>46.740001678466797</v>
      </c>
      <c r="DK10" s="10">
        <v>26.520000457763668</v>
      </c>
      <c r="DL10" s="10">
        <v>160.3399963378906</v>
      </c>
      <c r="DM10" s="10">
        <v>186.1600036621094</v>
      </c>
      <c r="DN10" s="10">
        <v>59.799999237060547</v>
      </c>
      <c r="DO10" s="10">
        <v>60.580001831054688</v>
      </c>
      <c r="DP10" s="10">
        <v>65.55999755859375</v>
      </c>
      <c r="DQ10" s="10">
        <v>77.139999389648438</v>
      </c>
      <c r="DR10" s="10">
        <v>41.759998321533203</v>
      </c>
      <c r="DS10" s="10">
        <v>44</v>
      </c>
      <c r="DT10" s="10">
        <v>34.090000152587891</v>
      </c>
      <c r="DU10" s="10">
        <v>104.23000335693359</v>
      </c>
      <c r="DV10" s="10">
        <v>91.050003051757813</v>
      </c>
      <c r="DW10" s="10">
        <v>247.4700012207031</v>
      </c>
      <c r="DX10" s="10">
        <v>91.599998474121094</v>
      </c>
      <c r="DY10" s="10">
        <v>94.355003356933594</v>
      </c>
      <c r="DZ10" s="10">
        <v>45.125</v>
      </c>
      <c r="EA10" s="10">
        <v>35.159999847412109</v>
      </c>
      <c r="EB10" s="10">
        <v>58</v>
      </c>
      <c r="EC10" s="10">
        <v>87.510002136230469</v>
      </c>
      <c r="ED10" s="10">
        <v>541.03997802734375</v>
      </c>
      <c r="EE10" s="10">
        <v>25.170000076293949</v>
      </c>
      <c r="EF10" s="10">
        <v>115.4700012207031</v>
      </c>
      <c r="EG10" s="10">
        <v>34.340000152587891</v>
      </c>
      <c r="EH10" s="10">
        <v>248.3999938964844</v>
      </c>
      <c r="EI10" s="10">
        <v>69.769996643066406</v>
      </c>
      <c r="EJ10" s="10">
        <v>209.93794250488281</v>
      </c>
      <c r="EK10" s="10">
        <v>167.44999694824219</v>
      </c>
      <c r="EL10" s="10">
        <v>100.76999664306641</v>
      </c>
      <c r="EM10" s="10">
        <v>65.69000244140625</v>
      </c>
      <c r="EN10" s="10">
        <v>531.46002197265625</v>
      </c>
      <c r="EO10" s="10">
        <v>406.48001098632813</v>
      </c>
      <c r="EP10" s="10">
        <v>47.959999084472663</v>
      </c>
      <c r="EQ10" s="10">
        <v>39.599998474121087</v>
      </c>
      <c r="ER10" s="10">
        <v>48.830001831054688</v>
      </c>
      <c r="ES10" s="10">
        <v>127.01999664306641</v>
      </c>
      <c r="ET10" s="10">
        <v>131.94999694824219</v>
      </c>
      <c r="EU10" s="10">
        <v>115.23000335693359</v>
      </c>
      <c r="EV10" s="10">
        <v>118.0899963378906</v>
      </c>
      <c r="EW10" s="10">
        <v>170.57000732421881</v>
      </c>
      <c r="EX10" s="10">
        <v>147.4700012207031</v>
      </c>
      <c r="EY10" s="10">
        <v>52.610000610351563</v>
      </c>
      <c r="EZ10" s="10">
        <v>336.66000366210938</v>
      </c>
      <c r="FA10" s="10">
        <v>147.13999938964841</v>
      </c>
      <c r="FB10" s="10">
        <v>53.779998779296882</v>
      </c>
      <c r="FC10" s="10">
        <v>120.1699981689453</v>
      </c>
      <c r="FD10" s="10">
        <v>111.25</v>
      </c>
      <c r="FE10" s="10">
        <v>90.720001220703125</v>
      </c>
      <c r="FF10" s="10">
        <v>71.569999694824219</v>
      </c>
      <c r="FG10" s="10">
        <v>85.760002136230469</v>
      </c>
      <c r="FH10" s="10">
        <v>200.6300048828125</v>
      </c>
      <c r="FI10" s="10">
        <v>45.229999542236328</v>
      </c>
      <c r="FJ10" s="10">
        <v>186.58000183105469</v>
      </c>
      <c r="FK10" s="10">
        <v>69.089996337890625</v>
      </c>
      <c r="FL10" s="10">
        <v>91.489997863769531</v>
      </c>
      <c r="FM10" s="10">
        <v>130.8699951171875</v>
      </c>
      <c r="FN10" s="10">
        <v>444.48001098632813</v>
      </c>
      <c r="FO10" s="10">
        <v>461.42001342773438</v>
      </c>
      <c r="FP10" s="10">
        <v>90.760002136230469</v>
      </c>
      <c r="FQ10" s="10">
        <v>169.55000305175781</v>
      </c>
      <c r="FR10" s="10">
        <v>98.139999389648438</v>
      </c>
      <c r="FS10" s="10">
        <v>114.6999969482422</v>
      </c>
      <c r="FT10" s="10">
        <v>226.58000183105469</v>
      </c>
      <c r="FU10" s="10">
        <v>40.680000305175781</v>
      </c>
      <c r="FV10" s="10">
        <v>229.1300048828125</v>
      </c>
      <c r="FW10" s="10">
        <v>783.3599853515625</v>
      </c>
      <c r="FX10" s="10">
        <v>66.489997863769531</v>
      </c>
      <c r="FY10" s="10">
        <v>236.5899963378906</v>
      </c>
      <c r="FZ10" s="10">
        <v>198</v>
      </c>
      <c r="GA10" s="10">
        <v>85.400001525878906</v>
      </c>
      <c r="GB10" s="10">
        <v>341.8699951171875</v>
      </c>
      <c r="GC10" s="10">
        <v>58.799999237060547</v>
      </c>
      <c r="GD10" s="10">
        <v>71.050003051757813</v>
      </c>
      <c r="GE10" s="10">
        <v>41.049999237060547</v>
      </c>
      <c r="GF10" s="10">
        <v>112.7900009155273</v>
      </c>
      <c r="GG10" s="10">
        <v>121.69000244140619</v>
      </c>
      <c r="GH10" s="10">
        <v>150.41999816894531</v>
      </c>
      <c r="GI10" s="10">
        <v>107.4599990844727</v>
      </c>
      <c r="GJ10" s="10">
        <v>146.1199951171875</v>
      </c>
      <c r="GK10" s="10">
        <v>393.54000854492188</v>
      </c>
      <c r="GL10" s="10">
        <v>795</v>
      </c>
      <c r="GM10" s="10">
        <v>58.409999847412109</v>
      </c>
      <c r="GN10" s="10">
        <v>97.30999755859375</v>
      </c>
      <c r="GO10" s="10">
        <v>247.55000305175781</v>
      </c>
      <c r="GP10" s="10">
        <v>58</v>
      </c>
      <c r="GQ10" s="10">
        <v>26.760000228881839</v>
      </c>
      <c r="GR10" s="10">
        <v>191.38999938964841</v>
      </c>
      <c r="GS10" s="10">
        <v>39.020000457763672</v>
      </c>
      <c r="GT10" s="10">
        <v>125.9499969482422</v>
      </c>
      <c r="GU10" s="10">
        <v>253.4700012207031</v>
      </c>
      <c r="GV10" s="10">
        <v>106.0899963378906</v>
      </c>
      <c r="GW10" s="10">
        <v>15.239999771118161</v>
      </c>
      <c r="GX10" s="10">
        <v>74.660003662109375</v>
      </c>
      <c r="GY10" s="10">
        <v>73.919998168945313</v>
      </c>
      <c r="GZ10" s="10">
        <v>34.319999694824219</v>
      </c>
      <c r="HA10" s="10">
        <v>32.220001220703118</v>
      </c>
      <c r="HB10" s="10">
        <v>26.889999389648441</v>
      </c>
      <c r="HC10" s="10">
        <v>40.759998321533203</v>
      </c>
      <c r="HD10" s="10">
        <v>103.75</v>
      </c>
      <c r="HE10" s="10">
        <v>347.07998657226563</v>
      </c>
      <c r="HF10" s="10">
        <v>80.69000244140625</v>
      </c>
      <c r="HG10" s="10">
        <v>18.45000076293945</v>
      </c>
      <c r="HH10" s="10">
        <v>150.6000061035156</v>
      </c>
      <c r="HI10" s="10">
        <v>215.7799987792969</v>
      </c>
      <c r="HJ10" s="10">
        <v>108.2799987792969</v>
      </c>
      <c r="HK10" s="10">
        <v>77.120002746582031</v>
      </c>
      <c r="HL10" s="10">
        <v>38.959999084472663</v>
      </c>
      <c r="HM10" s="10">
        <v>167.99000549316409</v>
      </c>
      <c r="HN10" s="10">
        <v>76.720001220703125</v>
      </c>
      <c r="HO10" s="10">
        <v>102.1600036621094</v>
      </c>
      <c r="HP10" s="10">
        <v>110.2600021362305</v>
      </c>
      <c r="HQ10" s="10">
        <v>326.6099853515625</v>
      </c>
      <c r="HR10" s="10">
        <v>33.630001068115227</v>
      </c>
      <c r="HS10" s="10">
        <v>72.300003051757813</v>
      </c>
      <c r="HT10" s="10">
        <v>64.790000915527344</v>
      </c>
      <c r="HU10" s="10">
        <v>297.57998657226563</v>
      </c>
      <c r="HV10" s="10">
        <v>20.579999923706051</v>
      </c>
      <c r="HW10" s="10">
        <v>79.510002136230469</v>
      </c>
      <c r="HX10" s="10">
        <v>251.72999572753909</v>
      </c>
      <c r="HY10" s="10">
        <v>137.4100036621094</v>
      </c>
      <c r="HZ10" s="10">
        <v>16.70999908447266</v>
      </c>
      <c r="IA10" s="10">
        <v>145.47999572753909</v>
      </c>
      <c r="IB10" s="10">
        <v>79.860000610351563</v>
      </c>
      <c r="IC10" s="10">
        <v>310.01998901367188</v>
      </c>
      <c r="ID10" s="10">
        <v>208.30000305175781</v>
      </c>
      <c r="IE10" s="10">
        <v>40.619998931884773</v>
      </c>
      <c r="IF10" s="10">
        <v>17.319999694824219</v>
      </c>
      <c r="IG10" s="10">
        <v>49.130001068115227</v>
      </c>
      <c r="IH10" s="10">
        <v>30.75</v>
      </c>
      <c r="II10" s="10">
        <v>328.989990234375</v>
      </c>
      <c r="IJ10" s="10">
        <v>446.26998901367188</v>
      </c>
      <c r="IK10" s="10">
        <v>10.939999580383301</v>
      </c>
      <c r="IL10" s="10">
        <v>228.75</v>
      </c>
      <c r="IM10" s="10">
        <v>133.66999816894531</v>
      </c>
      <c r="IN10" s="10">
        <v>212.83000183105469</v>
      </c>
      <c r="IO10" s="10">
        <v>490.17999267578119</v>
      </c>
      <c r="IP10" s="10">
        <v>250.8999938964844</v>
      </c>
      <c r="IQ10" s="10">
        <v>188.1199951171875</v>
      </c>
      <c r="IR10" s="10">
        <v>62.080001831054688</v>
      </c>
      <c r="IS10" s="10">
        <v>65.239997863769531</v>
      </c>
      <c r="IT10" s="10">
        <v>283.42999267578119</v>
      </c>
      <c r="IU10" s="10">
        <v>33.619998931884773</v>
      </c>
      <c r="IV10" s="10">
        <v>112.9300003051758</v>
      </c>
      <c r="IW10" s="10">
        <v>79.730003356933594</v>
      </c>
      <c r="IX10" s="10">
        <v>32.029998779296882</v>
      </c>
      <c r="IY10" s="10">
        <v>38.950000762939453</v>
      </c>
      <c r="IZ10" s="10">
        <v>451.57000732421881</v>
      </c>
      <c r="JA10" s="10">
        <v>336.02999877929688</v>
      </c>
      <c r="JB10" s="10">
        <v>17.129999160766602</v>
      </c>
      <c r="JC10" s="10">
        <v>34.860000610351563</v>
      </c>
      <c r="JD10" s="10">
        <v>221.07000732421881</v>
      </c>
      <c r="JE10" s="10">
        <v>57.270000457763672</v>
      </c>
      <c r="JF10" s="10">
        <v>182.4100036621094</v>
      </c>
      <c r="JG10" s="10">
        <v>108.8300018310547</v>
      </c>
      <c r="JH10" s="10">
        <v>168.24000549316409</v>
      </c>
      <c r="JI10" s="10">
        <v>119.3399963378906</v>
      </c>
      <c r="JJ10" s="10">
        <v>163.3500061035156</v>
      </c>
      <c r="JK10" s="10">
        <v>67.669998168945313</v>
      </c>
      <c r="JL10" s="10">
        <v>146.61000061035159</v>
      </c>
      <c r="JM10" s="10">
        <v>31.329999923706051</v>
      </c>
      <c r="JN10" s="10">
        <v>64.366195678710938</v>
      </c>
      <c r="JO10" s="10">
        <v>31.469999313354489</v>
      </c>
      <c r="JP10" s="10">
        <v>9.5699996948242188</v>
      </c>
      <c r="JQ10" s="10">
        <v>166.97999572753909</v>
      </c>
      <c r="JR10" s="10">
        <v>137.47999572753909</v>
      </c>
      <c r="JS10" s="10">
        <v>20.120000839233398</v>
      </c>
      <c r="JT10" s="10">
        <v>17.25</v>
      </c>
      <c r="JU10" s="10">
        <v>484.82000732421881</v>
      </c>
      <c r="JV10" s="10">
        <v>35.810001373291023</v>
      </c>
      <c r="JW10" s="10">
        <v>47.439998626708977</v>
      </c>
      <c r="JX10" s="10">
        <v>197.74000549316409</v>
      </c>
      <c r="JY10" s="10">
        <v>208.91999816894531</v>
      </c>
      <c r="JZ10" s="10">
        <v>650.989990234375</v>
      </c>
      <c r="KA10" s="10">
        <v>115.120002746582</v>
      </c>
      <c r="KB10" s="10">
        <v>58.590000152587891</v>
      </c>
      <c r="KC10" s="10">
        <v>88.419998168945313</v>
      </c>
      <c r="KD10" s="10">
        <v>125.2799987792969</v>
      </c>
      <c r="KE10" s="10">
        <v>378.16000366210938</v>
      </c>
      <c r="KF10" s="10">
        <v>91.75</v>
      </c>
      <c r="KG10" s="10">
        <v>462.57998657226563</v>
      </c>
      <c r="KH10" s="10">
        <v>59.720001220703118</v>
      </c>
      <c r="KI10" s="10">
        <v>224.5899963378906</v>
      </c>
      <c r="KJ10" s="10">
        <v>379.41000366210938</v>
      </c>
      <c r="KK10" s="10">
        <v>92.610000610351563</v>
      </c>
      <c r="KL10" s="10">
        <v>127.4499969482422</v>
      </c>
      <c r="KM10" s="10">
        <v>23</v>
      </c>
      <c r="KN10" s="10">
        <v>117.5400009155273</v>
      </c>
      <c r="KO10" s="10">
        <v>262.14999389648438</v>
      </c>
      <c r="KP10" s="10">
        <v>184.22999572753909</v>
      </c>
      <c r="KQ10" s="10">
        <v>185.41999816894531</v>
      </c>
      <c r="KR10" s="10">
        <v>456.22000122070313</v>
      </c>
      <c r="KS10" s="10">
        <v>56.849998474121087</v>
      </c>
      <c r="KT10" s="10">
        <v>393.95999145507813</v>
      </c>
      <c r="KU10" s="10">
        <v>42.419998168945313</v>
      </c>
      <c r="KV10" s="10">
        <v>88.169998168945313</v>
      </c>
      <c r="KW10" s="10">
        <v>294.83999633789063</v>
      </c>
      <c r="KX10" s="10">
        <v>420.79998779296881</v>
      </c>
      <c r="KY10" s="10">
        <v>87.139999389648438</v>
      </c>
      <c r="KZ10" s="10">
        <v>114.3300018310547</v>
      </c>
      <c r="LA10" s="10">
        <v>286.01998901367188</v>
      </c>
      <c r="LB10" s="10">
        <v>57.279998779296882</v>
      </c>
      <c r="LC10" s="10">
        <v>1312.140014648438</v>
      </c>
      <c r="LD10" s="10">
        <v>43.799999237060547</v>
      </c>
      <c r="LE10" s="10">
        <v>90.69000244140625</v>
      </c>
      <c r="LF10" s="10">
        <v>63.900001525878913</v>
      </c>
      <c r="LG10" s="10">
        <v>337.989990234375</v>
      </c>
      <c r="LH10" s="10">
        <v>153.74000549316409</v>
      </c>
      <c r="LI10" s="10">
        <v>121.73000335693359</v>
      </c>
      <c r="LJ10" s="10">
        <v>103.2200012207031</v>
      </c>
      <c r="LK10" s="10">
        <v>298.48001098632813</v>
      </c>
      <c r="LL10" s="10">
        <v>66.610000610351563</v>
      </c>
      <c r="LM10" s="10">
        <v>73.510002136230469</v>
      </c>
      <c r="LN10" s="10">
        <v>542.57000732421875</v>
      </c>
      <c r="LO10" s="10">
        <v>56.950000762939453</v>
      </c>
      <c r="LP10" s="10">
        <v>346.3900146484375</v>
      </c>
      <c r="LQ10" s="10">
        <v>86.410003662109375</v>
      </c>
      <c r="LR10" s="10">
        <v>35.740001678466797</v>
      </c>
      <c r="LS10" s="10">
        <v>292.760009765625</v>
      </c>
      <c r="LT10" s="10">
        <v>472.82000732421881</v>
      </c>
      <c r="LU10" s="10">
        <v>49.700000762939453</v>
      </c>
      <c r="LV10" s="10">
        <v>76.449996948242188</v>
      </c>
      <c r="LW10" s="10">
        <v>441.44000244140619</v>
      </c>
      <c r="LX10" s="10">
        <v>43.040000915527337</v>
      </c>
      <c r="LY10" s="10">
        <v>19.54999923706055</v>
      </c>
      <c r="LZ10" s="10">
        <v>19.770000457763668</v>
      </c>
      <c r="MA10" s="10">
        <v>74.379997253417969</v>
      </c>
      <c r="MB10" s="10">
        <v>109.11000061035161</v>
      </c>
      <c r="MC10" s="10">
        <v>27.420000076293949</v>
      </c>
      <c r="MD10" s="10">
        <v>247</v>
      </c>
      <c r="ME10" s="10">
        <v>228.8800048828125</v>
      </c>
      <c r="MF10" s="10">
        <v>75.360000610351563</v>
      </c>
      <c r="MG10" s="10">
        <v>458.16000366210938</v>
      </c>
      <c r="MH10" s="10">
        <v>21.909999847412109</v>
      </c>
      <c r="MI10" s="10">
        <v>37.619998931884773</v>
      </c>
      <c r="MJ10" s="10">
        <v>165.61000061035159</v>
      </c>
      <c r="MK10" s="10">
        <v>424.1300048828125</v>
      </c>
      <c r="ML10" s="10">
        <v>6286.47998046875</v>
      </c>
      <c r="MM10" s="10">
        <v>207.1300048828125</v>
      </c>
      <c r="MN10" s="10">
        <v>947.08001708984375</v>
      </c>
      <c r="MO10" s="10">
        <v>59.209999084472663</v>
      </c>
      <c r="MP10" s="10">
        <v>367.8699951171875</v>
      </c>
      <c r="MQ10" s="10">
        <v>95.55999755859375</v>
      </c>
      <c r="MR10" s="10">
        <v>96.830001831054688</v>
      </c>
      <c r="MS10" s="10">
        <v>62.400001525878913</v>
      </c>
      <c r="MT10" s="10">
        <v>117.15000152587891</v>
      </c>
      <c r="MU10" s="10">
        <v>88.610000610351563</v>
      </c>
      <c r="MV10" s="10">
        <v>83.639999389648438</v>
      </c>
      <c r="MW10" s="10">
        <v>132.61000061035159</v>
      </c>
      <c r="MX10" s="10">
        <v>254.63999938964841</v>
      </c>
      <c r="MY10" s="10">
        <v>16.319999694824219</v>
      </c>
      <c r="MZ10" s="10">
        <v>391.010009765625</v>
      </c>
      <c r="NA10" s="10">
        <v>111.4700012207031</v>
      </c>
      <c r="NB10" s="10">
        <v>319.6199951171875</v>
      </c>
      <c r="NC10" s="10">
        <v>68.099998474121094</v>
      </c>
      <c r="ND10" s="10">
        <v>63.970001220703118</v>
      </c>
      <c r="NE10" s="10">
        <v>185.6000061035156</v>
      </c>
      <c r="NF10" s="10">
        <v>36.650001525878913</v>
      </c>
      <c r="NG10" s="10">
        <v>17.280000686645511</v>
      </c>
      <c r="NH10" s="10">
        <v>98.480003356933594</v>
      </c>
      <c r="NI10" s="10">
        <v>95.660003662109375</v>
      </c>
      <c r="NJ10" s="10">
        <v>81.739997863769531</v>
      </c>
      <c r="NK10" s="10">
        <v>207.74000549316409</v>
      </c>
      <c r="NL10" s="10">
        <v>127.5299987792969</v>
      </c>
      <c r="NM10" s="10">
        <v>371.48001098632813</v>
      </c>
      <c r="NN10" s="10">
        <v>149.07000732421881</v>
      </c>
      <c r="NO10" s="10">
        <v>26.670000076293949</v>
      </c>
      <c r="NP10" s="10">
        <v>76.589996337890625</v>
      </c>
      <c r="NQ10" s="10">
        <v>132.5899963378906</v>
      </c>
      <c r="NR10" s="10">
        <v>123.84999847412109</v>
      </c>
      <c r="NS10" s="10">
        <v>89.150001525878906</v>
      </c>
      <c r="NT10" s="10">
        <v>62.869998931884773</v>
      </c>
      <c r="NU10" s="10">
        <v>140.3399963378906</v>
      </c>
      <c r="NV10" s="10">
        <v>292.989990234375</v>
      </c>
      <c r="NW10" s="10">
        <v>77.290000915527344</v>
      </c>
      <c r="NX10" s="10">
        <v>103.120002746582</v>
      </c>
      <c r="NY10" s="10">
        <v>195.71000671386719</v>
      </c>
      <c r="NZ10" s="10">
        <v>120.0899963378906</v>
      </c>
      <c r="OA10" s="10">
        <v>139.1499938964844</v>
      </c>
      <c r="OB10" s="10">
        <v>123.69000244140619</v>
      </c>
      <c r="OC10" s="10">
        <v>103.9599990844727</v>
      </c>
      <c r="OD10" s="10">
        <v>98.389999389648438</v>
      </c>
      <c r="OE10" s="10">
        <v>60.200000762939453</v>
      </c>
      <c r="OF10" s="10">
        <v>62.380001068115227</v>
      </c>
      <c r="OG10" s="10">
        <v>18.29000091552734</v>
      </c>
      <c r="OH10" s="10">
        <v>151.3999938964844</v>
      </c>
      <c r="OI10" s="10">
        <v>214.6499938964844</v>
      </c>
      <c r="OJ10" s="10">
        <v>117.7399978637695</v>
      </c>
      <c r="OK10" s="10">
        <v>75.540000915527344</v>
      </c>
      <c r="OL10" s="10">
        <v>329.47000122070313</v>
      </c>
      <c r="OM10" s="10">
        <v>42.319999694824219</v>
      </c>
      <c r="ON10" s="10">
        <v>477.3900146484375</v>
      </c>
      <c r="OO10" s="10">
        <v>111.129997253418</v>
      </c>
      <c r="OP10" s="10">
        <v>103.1999969482422</v>
      </c>
      <c r="OQ10" s="10">
        <v>396.92001342773438</v>
      </c>
      <c r="OR10" s="10">
        <v>211.6499938964844</v>
      </c>
      <c r="OS10" s="10">
        <v>234.0299987792969</v>
      </c>
      <c r="OT10" s="10">
        <v>49.470001220703118</v>
      </c>
      <c r="OU10" s="10">
        <v>62.180000305175781</v>
      </c>
      <c r="OV10" s="10">
        <v>72.589996337890625</v>
      </c>
      <c r="OW10" s="10">
        <v>562.8699951171875</v>
      </c>
      <c r="OX10" s="10">
        <v>264.1300048828125</v>
      </c>
      <c r="OY10" s="10">
        <v>117.0400009155273</v>
      </c>
      <c r="OZ10" s="10">
        <v>111.6999969482422</v>
      </c>
      <c r="PA10" s="10">
        <v>150.38999938964841</v>
      </c>
      <c r="PB10" s="10">
        <v>286.8599853515625</v>
      </c>
      <c r="PC10" s="10">
        <v>70.569999694824219</v>
      </c>
      <c r="PD10" s="10">
        <v>37.040000915527337</v>
      </c>
      <c r="PE10" s="10">
        <v>92.489997863769531</v>
      </c>
      <c r="PF10" s="10">
        <v>99.150001525878906</v>
      </c>
      <c r="PG10" s="10">
        <v>74.339996337890625</v>
      </c>
      <c r="PH10" s="10">
        <v>110.7799987792969</v>
      </c>
      <c r="PI10" s="10">
        <v>219.13999938964841</v>
      </c>
      <c r="PJ10" s="10">
        <v>298</v>
      </c>
      <c r="PK10" s="10">
        <v>249.19999694824219</v>
      </c>
      <c r="PL10" s="10">
        <v>434.010009765625</v>
      </c>
      <c r="PM10" s="10">
        <v>75.300003051757813</v>
      </c>
      <c r="PN10" s="10">
        <v>139.33000183105469</v>
      </c>
      <c r="PO10" s="10">
        <v>113.2600021362305</v>
      </c>
      <c r="PP10" s="10">
        <v>147.72999572753909</v>
      </c>
      <c r="PQ10" s="10">
        <v>43.529998779296882</v>
      </c>
      <c r="PR10" s="10">
        <v>77.010002136230469</v>
      </c>
      <c r="PS10" s="10">
        <v>134.86000061035159</v>
      </c>
      <c r="PT10" s="10">
        <v>140.3800048828125</v>
      </c>
      <c r="PU10" s="10">
        <v>410.45001220703119</v>
      </c>
      <c r="PV10" s="10">
        <v>238.72999572753909</v>
      </c>
      <c r="PW10" s="10">
        <v>111.5299987792969</v>
      </c>
      <c r="PX10" s="10">
        <v>279.82000732421881</v>
      </c>
      <c r="PY10" s="10">
        <v>179.75999450683591</v>
      </c>
      <c r="PZ10" s="10">
        <v>68.040000915527344</v>
      </c>
      <c r="QA10" s="10">
        <v>519.1099853515625</v>
      </c>
      <c r="QB10" s="10">
        <v>84.239997863769531</v>
      </c>
      <c r="QC10" s="10">
        <v>221.0299987792969</v>
      </c>
      <c r="QD10" s="10">
        <v>191.19999694824219</v>
      </c>
      <c r="QE10" s="10">
        <v>896.45001220703125</v>
      </c>
      <c r="QF10" s="10">
        <v>173.0899963378906</v>
      </c>
      <c r="QG10" s="10">
        <v>52.180000305175781</v>
      </c>
      <c r="QH10" s="10">
        <v>31.389999389648441</v>
      </c>
      <c r="QI10" s="10">
        <v>412.30999755859381</v>
      </c>
      <c r="QJ10" s="10">
        <v>51.810001373291023</v>
      </c>
      <c r="QK10" s="10">
        <v>33.580001831054688</v>
      </c>
      <c r="QL10" s="10">
        <v>43.090000152587891</v>
      </c>
      <c r="QM10" s="10">
        <v>43.659999847412109</v>
      </c>
      <c r="QN10" s="10">
        <v>477.35000610351563</v>
      </c>
      <c r="QO10" s="10">
        <v>206.1300048828125</v>
      </c>
      <c r="QP10" s="10">
        <v>55.060001373291023</v>
      </c>
      <c r="QQ10" s="10">
        <v>183.77000427246091</v>
      </c>
      <c r="QR10" s="10">
        <v>448.6300048828125</v>
      </c>
      <c r="QS10" s="10">
        <v>477.8800048828125</v>
      </c>
      <c r="QT10" s="10">
        <v>155.4100036621094</v>
      </c>
      <c r="QU10" s="10">
        <v>117.4300003051758</v>
      </c>
      <c r="QV10" s="10">
        <v>48.259998321533203</v>
      </c>
      <c r="QW10" s="10">
        <v>222.9100036621094</v>
      </c>
      <c r="QX10" s="10">
        <v>222.5</v>
      </c>
      <c r="QY10" s="10">
        <v>37.279998779296882</v>
      </c>
      <c r="QZ10" s="10">
        <v>347.57000732421881</v>
      </c>
      <c r="RA10" s="10">
        <v>19.139999389648441</v>
      </c>
      <c r="RB10" s="10">
        <v>9.8900003433227539</v>
      </c>
      <c r="RC10" s="10">
        <v>31.829999923706051</v>
      </c>
      <c r="RD10" s="10">
        <v>237.9700012207031</v>
      </c>
      <c r="RE10" s="10">
        <v>223.3399963378906</v>
      </c>
      <c r="RF10" s="10">
        <v>59.680000305175781</v>
      </c>
      <c r="RG10" s="10">
        <v>109.34999847412109</v>
      </c>
      <c r="RH10" s="10">
        <v>29.020000457763668</v>
      </c>
      <c r="RI10" s="10">
        <v>52.733333587646477</v>
      </c>
      <c r="RJ10" s="10">
        <v>90.5</v>
      </c>
      <c r="RK10" s="10">
        <v>13.010000228881839</v>
      </c>
      <c r="RL10" s="10">
        <v>171.3999938964844</v>
      </c>
      <c r="RM10" s="10">
        <v>264.76998901367188</v>
      </c>
      <c r="RN10" s="10">
        <v>89.319999694824219</v>
      </c>
      <c r="RO10" s="10">
        <v>43.400001525878913</v>
      </c>
      <c r="RP10" s="10">
        <v>81.470001220703125</v>
      </c>
      <c r="RQ10" s="10">
        <v>378.32998657226563</v>
      </c>
      <c r="RR10" s="10">
        <v>38.509998321533203</v>
      </c>
      <c r="RS10" s="10">
        <v>29.309999465942379</v>
      </c>
      <c r="RT10" s="10">
        <v>33.540000915527337</v>
      </c>
      <c r="RU10" s="10">
        <v>32.720001220703118</v>
      </c>
      <c r="RV10" s="10">
        <v>233.47999572753909</v>
      </c>
      <c r="RW10" s="10">
        <v>782.55999755859375</v>
      </c>
      <c r="RX10" s="10">
        <v>106.620002746582</v>
      </c>
      <c r="RY10" s="10">
        <v>62.979999542236328</v>
      </c>
      <c r="RZ10" s="10">
        <v>111.8300018310547</v>
      </c>
      <c r="SA10" s="10">
        <v>137.27000427246091</v>
      </c>
      <c r="SB10" s="10">
        <v>296.26998901367188</v>
      </c>
      <c r="SC10" s="10">
        <v>142.50999450683591</v>
      </c>
      <c r="SD10" s="10">
        <v>170.22999572753909</v>
      </c>
    </row>
    <row r="11" spans="1:498" x14ac:dyDescent="0.25">
      <c r="A11" s="13">
        <v>45139</v>
      </c>
      <c r="B11" s="10">
        <v>110.55999755859381</v>
      </c>
      <c r="C11" s="10">
        <v>72.589996337890625</v>
      </c>
      <c r="D11" s="10">
        <v>110.5299987792969</v>
      </c>
      <c r="E11" s="10">
        <v>148.53999328613281</v>
      </c>
      <c r="F11" s="10">
        <v>320.97000122070313</v>
      </c>
      <c r="G11" s="10">
        <v>549.0999755859375</v>
      </c>
      <c r="H11" s="10">
        <v>117.59999847412109</v>
      </c>
      <c r="I11" s="10">
        <v>21.010000228881839</v>
      </c>
      <c r="J11" s="10">
        <v>72.110000610351563</v>
      </c>
      <c r="K11" s="10">
        <v>122.48000335693359</v>
      </c>
      <c r="L11" s="10">
        <v>302.41000366210938</v>
      </c>
      <c r="M11" s="10">
        <v>148.9100036621094</v>
      </c>
      <c r="N11" s="10">
        <v>94.019996643066406</v>
      </c>
      <c r="O11" s="10">
        <v>207.99000549316409</v>
      </c>
      <c r="P11" s="10">
        <v>122.05999755859381</v>
      </c>
      <c r="Q11" s="10">
        <v>376.6199951171875</v>
      </c>
      <c r="R11" s="10">
        <v>116.129997253418</v>
      </c>
      <c r="S11" s="10">
        <v>53.299999237060547</v>
      </c>
      <c r="T11" s="10">
        <v>113.0299987792969</v>
      </c>
      <c r="U11" s="10">
        <v>131.55000305175781</v>
      </c>
      <c r="V11" s="10">
        <v>131.88999938964841</v>
      </c>
      <c r="W11" s="10">
        <v>45.180000305175781</v>
      </c>
      <c r="X11" s="10">
        <v>131.69000244140619</v>
      </c>
      <c r="Y11" s="10">
        <v>10.010000228881839</v>
      </c>
      <c r="Z11" s="10">
        <v>84.639999389648438</v>
      </c>
      <c r="AA11" s="10">
        <v>16.229999542236332</v>
      </c>
      <c r="AB11" s="10">
        <v>84.029998779296875</v>
      </c>
      <c r="AC11" s="10">
        <v>169.6499938964844</v>
      </c>
      <c r="AD11" s="10">
        <v>60.380001068115227</v>
      </c>
      <c r="AE11" s="10">
        <v>191.24000549316409</v>
      </c>
      <c r="AF11" s="10">
        <v>144.46000671386719</v>
      </c>
      <c r="AG11" s="10">
        <v>349.010009765625</v>
      </c>
      <c r="AH11" s="10">
        <v>159.44999694824219</v>
      </c>
      <c r="AI11" s="10">
        <v>232.1199951171875</v>
      </c>
      <c r="AJ11" s="10">
        <v>88.620002746582031</v>
      </c>
      <c r="AK11" s="10">
        <v>199.47999572753909</v>
      </c>
      <c r="AL11" s="10">
        <v>336.73001098632813</v>
      </c>
      <c r="AM11" s="10">
        <v>319.489990234375</v>
      </c>
      <c r="AN11" s="10">
        <v>40.240001678466797</v>
      </c>
      <c r="AO11" s="10">
        <v>195.61000061035159</v>
      </c>
      <c r="AP11" s="10">
        <v>152.6300048828125</v>
      </c>
      <c r="AQ11" s="10">
        <v>109.4899978637695</v>
      </c>
      <c r="AR11" s="10">
        <v>77.099998474121094</v>
      </c>
      <c r="AS11" s="10">
        <v>84.980003356933594</v>
      </c>
      <c r="AT11" s="10">
        <v>185.61000061035159</v>
      </c>
      <c r="AU11" s="10">
        <v>219.24000549316409</v>
      </c>
      <c r="AV11" s="10">
        <v>135.03999328613281</v>
      </c>
      <c r="AW11" s="10">
        <v>14.30000019073486</v>
      </c>
      <c r="AX11" s="10">
        <v>121.05999755859381</v>
      </c>
      <c r="AY11" s="10">
        <v>212.44999694824219</v>
      </c>
      <c r="AZ11" s="10">
        <v>248.32000732421881</v>
      </c>
      <c r="BA11" s="10">
        <v>2481.10009765625</v>
      </c>
      <c r="BB11" s="10">
        <v>187.8699951171875</v>
      </c>
      <c r="BC11" s="10">
        <v>185.2799987792969</v>
      </c>
      <c r="BD11" s="10">
        <v>183.33000183105469</v>
      </c>
      <c r="BE11" s="10">
        <v>35.770000457763672</v>
      </c>
      <c r="BF11" s="10">
        <v>58.080001831054688</v>
      </c>
      <c r="BG11" s="10">
        <v>31.620000839233398</v>
      </c>
      <c r="BH11" s="10">
        <v>45.159999847412109</v>
      </c>
      <c r="BI11" s="10">
        <v>36.700000762939453</v>
      </c>
      <c r="BJ11" s="10">
        <v>45</v>
      </c>
      <c r="BK11" s="10">
        <v>278.54000854492188</v>
      </c>
      <c r="BL11" s="10">
        <v>352.260009765625</v>
      </c>
      <c r="BM11" s="10">
        <v>82.769996643066406</v>
      </c>
      <c r="BN11" s="10">
        <v>407.30999755859381</v>
      </c>
      <c r="BO11" s="10">
        <v>82.099998474121094</v>
      </c>
      <c r="BP11" s="10">
        <v>269.29998779296881</v>
      </c>
      <c r="BQ11" s="10">
        <v>732.260009765625</v>
      </c>
      <c r="BR11" s="10">
        <v>106.0800018310547</v>
      </c>
      <c r="BS11" s="10">
        <v>238.00999450683591</v>
      </c>
      <c r="BT11" s="10">
        <v>2914.31005859375</v>
      </c>
      <c r="BU11" s="10">
        <v>46.470001220703118</v>
      </c>
      <c r="BV11" s="10">
        <v>64.709999084472656</v>
      </c>
      <c r="BW11" s="10">
        <v>51.889999389648438</v>
      </c>
      <c r="BX11" s="10">
        <v>61.529998779296882</v>
      </c>
      <c r="BY11" s="10">
        <v>920</v>
      </c>
      <c r="BZ11" s="10">
        <v>168.2200012207031</v>
      </c>
      <c r="CA11" s="10">
        <v>70</v>
      </c>
      <c r="CB11" s="10">
        <v>70.80999755859375</v>
      </c>
      <c r="CC11" s="10">
        <v>146.75999450683591</v>
      </c>
      <c r="CD11" s="10">
        <v>108.4199981689453</v>
      </c>
      <c r="CE11" s="10">
        <v>233.6300048828125</v>
      </c>
      <c r="CF11" s="10">
        <v>57.790000915527337</v>
      </c>
      <c r="CG11" s="10">
        <v>108.4100036621094</v>
      </c>
      <c r="CH11" s="10">
        <v>45.5</v>
      </c>
      <c r="CI11" s="10">
        <v>116.48000335693359</v>
      </c>
      <c r="CJ11" s="10">
        <v>91.639999389648438</v>
      </c>
      <c r="CK11" s="10">
        <v>84.080001831054688</v>
      </c>
      <c r="CL11" s="10">
        <v>17.989999771118161</v>
      </c>
      <c r="CM11" s="10">
        <v>59.799999237060547</v>
      </c>
      <c r="CN11" s="10">
        <v>46.509998321533203</v>
      </c>
      <c r="CO11" s="10">
        <v>288.64999389648438</v>
      </c>
      <c r="CP11" s="10">
        <v>139.8500061035156</v>
      </c>
      <c r="CQ11" s="10">
        <v>83.010002136230469</v>
      </c>
      <c r="CR11" s="10">
        <v>187.33000183105469</v>
      </c>
      <c r="CS11" s="10">
        <v>125.370002746582</v>
      </c>
      <c r="CT11" s="10">
        <v>189.1000061035156</v>
      </c>
      <c r="CU11" s="10">
        <v>68.010002136230469</v>
      </c>
      <c r="CV11" s="10">
        <v>29.489999771118161</v>
      </c>
      <c r="CW11" s="10">
        <v>81.279998779296875</v>
      </c>
      <c r="CX11" s="10">
        <v>99.389999389648438</v>
      </c>
      <c r="CY11" s="10">
        <v>209.30999755859381</v>
      </c>
      <c r="CZ11" s="10">
        <v>65.720001220703125</v>
      </c>
      <c r="DA11" s="10">
        <v>411.23001098632813</v>
      </c>
      <c r="DB11" s="10">
        <v>162.30000305175781</v>
      </c>
      <c r="DC11" s="10">
        <v>1955</v>
      </c>
      <c r="DD11" s="10">
        <v>203.2200012207031</v>
      </c>
      <c r="DE11" s="10">
        <v>96.370002746582031</v>
      </c>
      <c r="DF11" s="10">
        <v>295.6400146484375</v>
      </c>
      <c r="DG11" s="10">
        <v>108.4100036621094</v>
      </c>
      <c r="DH11" s="10">
        <v>503.75</v>
      </c>
      <c r="DI11" s="10">
        <v>52.659999847412109</v>
      </c>
      <c r="DJ11" s="10">
        <v>47.069999694824219</v>
      </c>
      <c r="DK11" s="10">
        <v>31.10000038146973</v>
      </c>
      <c r="DL11" s="10">
        <v>151.7200012207031</v>
      </c>
      <c r="DM11" s="10">
        <v>199.83000183105469</v>
      </c>
      <c r="DN11" s="10">
        <v>60.430000305175781</v>
      </c>
      <c r="DO11" s="10">
        <v>61.770000457763672</v>
      </c>
      <c r="DP11" s="10">
        <v>65.849998474121094</v>
      </c>
      <c r="DQ11" s="10">
        <v>76.639999389648438</v>
      </c>
      <c r="DR11" s="10">
        <v>45.310001373291023</v>
      </c>
      <c r="DS11" s="10">
        <v>52.569999694824219</v>
      </c>
      <c r="DT11" s="10">
        <v>32.569999694824219</v>
      </c>
      <c r="DU11" s="10">
        <v>117.379997253418</v>
      </c>
      <c r="DV11" s="10">
        <v>93.339996337890625</v>
      </c>
      <c r="DW11" s="10">
        <v>270.02999877929688</v>
      </c>
      <c r="DX11" s="10">
        <v>96.300003051757813</v>
      </c>
      <c r="DY11" s="10">
        <v>97.50250244140625</v>
      </c>
      <c r="DZ11" s="10">
        <v>44.419998168945313</v>
      </c>
      <c r="EA11" s="10">
        <v>33.740001678466797</v>
      </c>
      <c r="EB11" s="10">
        <v>55.939998626708977</v>
      </c>
      <c r="EC11" s="10">
        <v>83.120002746582031</v>
      </c>
      <c r="ED11" s="10">
        <v>555.469970703125</v>
      </c>
      <c r="EE11" s="10">
        <v>27.60000038146973</v>
      </c>
      <c r="EF11" s="10">
        <v>108.25</v>
      </c>
      <c r="EG11" s="10">
        <v>33.310001373291023</v>
      </c>
      <c r="EH11" s="10">
        <v>264.989990234375</v>
      </c>
      <c r="EI11" s="10">
        <v>73.949996948242188</v>
      </c>
      <c r="EJ11" s="10">
        <v>226.06382751464841</v>
      </c>
      <c r="EK11" s="10">
        <v>166.3800048828125</v>
      </c>
      <c r="EL11" s="10">
        <v>102.38999938964839</v>
      </c>
      <c r="EM11" s="10">
        <v>70.459999084472656</v>
      </c>
      <c r="EN11" s="10">
        <v>542.3599853515625</v>
      </c>
      <c r="EO11" s="10">
        <v>433.44000244140619</v>
      </c>
      <c r="EP11" s="10">
        <v>45.400001525878913</v>
      </c>
      <c r="EQ11" s="10">
        <v>41.369998931884773</v>
      </c>
      <c r="ER11" s="10">
        <v>53.680000305175781</v>
      </c>
      <c r="ES11" s="10">
        <v>122</v>
      </c>
      <c r="ET11" s="10">
        <v>147.8800048828125</v>
      </c>
      <c r="EU11" s="10">
        <v>123.38999938964839</v>
      </c>
      <c r="EV11" s="10">
        <v>104.8199996948242</v>
      </c>
      <c r="EW11" s="10">
        <v>168.44000244140619</v>
      </c>
      <c r="EX11" s="10">
        <v>153.0299987792969</v>
      </c>
      <c r="EY11" s="10">
        <v>52.299999237060547</v>
      </c>
      <c r="EZ11" s="10">
        <v>399.64999389648438</v>
      </c>
      <c r="FA11" s="10">
        <v>145.47999572753909</v>
      </c>
      <c r="FB11" s="10">
        <v>55.779998779296882</v>
      </c>
      <c r="FC11" s="10">
        <v>127.9199981689453</v>
      </c>
      <c r="FD11" s="10">
        <v>113.15000152587891</v>
      </c>
      <c r="FE11" s="10">
        <v>92.150001525878906</v>
      </c>
      <c r="FF11" s="10">
        <v>77.040000915527344</v>
      </c>
      <c r="FG11" s="10">
        <v>85.75</v>
      </c>
      <c r="FH11" s="10">
        <v>219</v>
      </c>
      <c r="FI11" s="10">
        <v>43.560001373291023</v>
      </c>
      <c r="FJ11" s="10">
        <v>185.16999816894531</v>
      </c>
      <c r="FK11" s="10">
        <v>71.040000915527344</v>
      </c>
      <c r="FL11" s="10">
        <v>82.050003051757813</v>
      </c>
      <c r="FM11" s="10">
        <v>136.1199951171875</v>
      </c>
      <c r="FN11" s="10">
        <v>467.98001098632813</v>
      </c>
      <c r="FO11" s="10">
        <v>453.08999633789063</v>
      </c>
      <c r="FP11" s="10">
        <v>91.629997253417969</v>
      </c>
      <c r="FQ11" s="10">
        <v>150.32000732421881</v>
      </c>
      <c r="FR11" s="10">
        <v>101.1699981689453</v>
      </c>
      <c r="FS11" s="10">
        <v>131.75</v>
      </c>
      <c r="FT11" s="10">
        <v>239.47999572753909</v>
      </c>
      <c r="FU11" s="10">
        <v>41.669998168945313</v>
      </c>
      <c r="FV11" s="10">
        <v>202.21000671386719</v>
      </c>
      <c r="FW11" s="10">
        <v>805.15997314453125</v>
      </c>
      <c r="FX11" s="10">
        <v>65.739997863769531</v>
      </c>
      <c r="FY11" s="10">
        <v>244.03999328613281</v>
      </c>
      <c r="FZ11" s="10">
        <v>175.0299987792969</v>
      </c>
      <c r="GA11" s="10">
        <v>98.599998474121094</v>
      </c>
      <c r="GB11" s="10">
        <v>359.23001098632813</v>
      </c>
      <c r="GC11" s="10">
        <v>59.5</v>
      </c>
      <c r="GD11" s="10">
        <v>70.349998474121094</v>
      </c>
      <c r="GE11" s="10">
        <v>41.470001220703118</v>
      </c>
      <c r="GF11" s="10">
        <v>120.7399978637695</v>
      </c>
      <c r="GG11" s="10">
        <v>125.4700012207031</v>
      </c>
      <c r="GH11" s="10">
        <v>137.55999755859381</v>
      </c>
      <c r="GI11" s="10">
        <v>106.620002746582</v>
      </c>
      <c r="GJ11" s="10">
        <v>159.8800048828125</v>
      </c>
      <c r="GK11" s="10">
        <v>433.58999633789063</v>
      </c>
      <c r="GL11" s="10">
        <v>829.69000244140625</v>
      </c>
      <c r="GM11" s="10">
        <v>58.340000152587891</v>
      </c>
      <c r="GN11" s="10">
        <v>101.23000335693359</v>
      </c>
      <c r="GO11" s="10">
        <v>268.16000366210938</v>
      </c>
      <c r="GP11" s="10">
        <v>61.069999694824219</v>
      </c>
      <c r="GQ11" s="10">
        <v>28.809999465942379</v>
      </c>
      <c r="GR11" s="10">
        <v>202.67999267578119</v>
      </c>
      <c r="GS11" s="10">
        <v>38.990001678466797</v>
      </c>
      <c r="GT11" s="10">
        <v>126.9700012207031</v>
      </c>
      <c r="GU11" s="10">
        <v>251.05999755859381</v>
      </c>
      <c r="GV11" s="10">
        <v>94.029998779296875</v>
      </c>
      <c r="GW11" s="10">
        <v>13.420000076293951</v>
      </c>
      <c r="GX11" s="10">
        <v>78.029998779296875</v>
      </c>
      <c r="GY11" s="10">
        <v>78.30999755859375</v>
      </c>
      <c r="GZ11" s="10">
        <v>33.259998321533203</v>
      </c>
      <c r="HA11" s="10">
        <v>31.229999542236332</v>
      </c>
      <c r="HB11" s="10">
        <v>28.79000091552734</v>
      </c>
      <c r="HC11" s="10">
        <v>43.75</v>
      </c>
      <c r="HD11" s="10">
        <v>106.34999847412109</v>
      </c>
      <c r="HE11" s="10">
        <v>343.92001342773438</v>
      </c>
      <c r="HF11" s="10">
        <v>77.69000244140625</v>
      </c>
      <c r="HG11" s="10">
        <v>19.309999465942379</v>
      </c>
      <c r="HH11" s="10">
        <v>153.3800048828125</v>
      </c>
      <c r="HI11" s="10">
        <v>225.3399963378906</v>
      </c>
      <c r="HJ11" s="10">
        <v>113.2200012207031</v>
      </c>
      <c r="HK11" s="10">
        <v>74.339996337890625</v>
      </c>
      <c r="HL11" s="10">
        <v>38.119998931884773</v>
      </c>
      <c r="HM11" s="10">
        <v>156.77000427246091</v>
      </c>
      <c r="HN11" s="10">
        <v>75.680000305175781</v>
      </c>
      <c r="HO11" s="10">
        <v>120.75</v>
      </c>
      <c r="HP11" s="10">
        <v>112.5699996948242</v>
      </c>
      <c r="HQ11" s="10">
        <v>357.72000122070313</v>
      </c>
      <c r="HR11" s="10">
        <v>39.270000457763672</v>
      </c>
      <c r="HS11" s="10">
        <v>71.989997863769531</v>
      </c>
      <c r="HT11" s="10">
        <v>64.550003051757813</v>
      </c>
      <c r="HU11" s="10">
        <v>273.8699951171875</v>
      </c>
      <c r="HV11" s="10">
        <v>21.690000534057621</v>
      </c>
      <c r="HW11" s="10">
        <v>78.819999694824219</v>
      </c>
      <c r="HX11" s="10">
        <v>230.5899963378906</v>
      </c>
      <c r="HY11" s="10">
        <v>151.6000061035156</v>
      </c>
      <c r="HZ11" s="10">
        <v>17.409999847412109</v>
      </c>
      <c r="IA11" s="10">
        <v>154.57000732421881</v>
      </c>
      <c r="IB11" s="10">
        <v>76.610000610351563</v>
      </c>
      <c r="IC11" s="10">
        <v>332.07000732421881</v>
      </c>
      <c r="ID11" s="10">
        <v>193.47999572753909</v>
      </c>
      <c r="IE11" s="10">
        <v>40.590000152587891</v>
      </c>
      <c r="IF11" s="10">
        <v>18.389999389648441</v>
      </c>
      <c r="IG11" s="10">
        <v>48.990001678466797</v>
      </c>
      <c r="IH11" s="10">
        <v>32.950000762939453</v>
      </c>
      <c r="II11" s="10">
        <v>315.70001220703119</v>
      </c>
      <c r="IJ11" s="10">
        <v>458.1099853515625</v>
      </c>
      <c r="IK11" s="10">
        <v>12.239999771118161</v>
      </c>
      <c r="IL11" s="10">
        <v>229.9700012207031</v>
      </c>
      <c r="IM11" s="10">
        <v>143.33000183105469</v>
      </c>
      <c r="IN11" s="10">
        <v>221.86000061035159</v>
      </c>
      <c r="IO11" s="10">
        <v>532.29998779296875</v>
      </c>
      <c r="IP11" s="10">
        <v>251.8500061035156</v>
      </c>
      <c r="IQ11" s="10">
        <v>189.28999328613281</v>
      </c>
      <c r="IR11" s="10">
        <v>63.689998626708977</v>
      </c>
      <c r="IS11" s="10">
        <v>66.010002136230469</v>
      </c>
      <c r="IT11" s="10">
        <v>270.94000244140619</v>
      </c>
      <c r="IU11" s="10">
        <v>35.799999237060547</v>
      </c>
      <c r="IV11" s="10">
        <v>115.0400009155273</v>
      </c>
      <c r="IW11" s="10">
        <v>84.319999694824219</v>
      </c>
      <c r="IX11" s="10">
        <v>35.939998626708977</v>
      </c>
      <c r="IY11" s="10">
        <v>33.959999084472663</v>
      </c>
      <c r="IZ11" s="10">
        <v>508.5</v>
      </c>
      <c r="JA11" s="10">
        <v>323.95001220703119</v>
      </c>
      <c r="JB11" s="10">
        <v>16.829999923706051</v>
      </c>
      <c r="JC11" s="10">
        <v>35.360000610351563</v>
      </c>
      <c r="JD11" s="10">
        <v>219.1300048828125</v>
      </c>
      <c r="JE11" s="10">
        <v>61.779998779296882</v>
      </c>
      <c r="JF11" s="10">
        <v>203.8699951171875</v>
      </c>
      <c r="JG11" s="10">
        <v>108.9599990844727</v>
      </c>
      <c r="JH11" s="10">
        <v>171.6300048828125</v>
      </c>
      <c r="JI11" s="10">
        <v>126.5500030517578</v>
      </c>
      <c r="JJ11" s="10">
        <v>168.88999938964841</v>
      </c>
      <c r="JK11" s="10">
        <v>70.029998779296875</v>
      </c>
      <c r="JL11" s="10">
        <v>157.17999267578119</v>
      </c>
      <c r="JM11" s="10">
        <v>28.010000228881839</v>
      </c>
      <c r="JN11" s="10">
        <v>62.150234222412109</v>
      </c>
      <c r="JO11" s="10">
        <v>34.130001068115227</v>
      </c>
      <c r="JP11" s="10">
        <v>11.989999771118161</v>
      </c>
      <c r="JQ11" s="10">
        <v>161.07000732421881</v>
      </c>
      <c r="JR11" s="10">
        <v>129</v>
      </c>
      <c r="JS11" s="10">
        <v>20.170000076293949</v>
      </c>
      <c r="JT11" s="10">
        <v>17.559999465942379</v>
      </c>
      <c r="JU11" s="10">
        <v>514.280029296875</v>
      </c>
      <c r="JV11" s="10">
        <v>35.880001068115227</v>
      </c>
      <c r="JW11" s="10">
        <v>48.540000915527337</v>
      </c>
      <c r="JX11" s="10">
        <v>187.7200012207031</v>
      </c>
      <c r="JY11" s="10">
        <v>213.61000061035159</v>
      </c>
      <c r="JZ11" s="10">
        <v>715.9000244140625</v>
      </c>
      <c r="KA11" s="10">
        <v>103.1699981689453</v>
      </c>
      <c r="KB11" s="10">
        <v>59.229999542236328</v>
      </c>
      <c r="KC11" s="10">
        <v>99.980003356933594</v>
      </c>
      <c r="KD11" s="10">
        <v>127</v>
      </c>
      <c r="KE11" s="10">
        <v>388.6400146484375</v>
      </c>
      <c r="KF11" s="10">
        <v>87.099998474121094</v>
      </c>
      <c r="KG11" s="10">
        <v>451.27999877929688</v>
      </c>
      <c r="KH11" s="10">
        <v>62.959999084472663</v>
      </c>
      <c r="KI11" s="10">
        <v>232.3500061035156</v>
      </c>
      <c r="KJ11" s="10">
        <v>381.20999145507813</v>
      </c>
      <c r="KK11" s="10">
        <v>97.760002136230469</v>
      </c>
      <c r="KL11" s="10">
        <v>138.69999694824219</v>
      </c>
      <c r="KM11" s="10">
        <v>26.180000305175781</v>
      </c>
      <c r="KN11" s="10">
        <v>134.94000244140619</v>
      </c>
      <c r="KO11" s="10">
        <v>262.60000610351563</v>
      </c>
      <c r="KP11" s="10">
        <v>204.74000549316409</v>
      </c>
      <c r="KQ11" s="10">
        <v>189.69999694824219</v>
      </c>
      <c r="KR11" s="10">
        <v>453.27999877929688</v>
      </c>
      <c r="KS11" s="10">
        <v>61.450000762939453</v>
      </c>
      <c r="KT11" s="10">
        <v>397.07000732421881</v>
      </c>
      <c r="KU11" s="10">
        <v>46.150001525878913</v>
      </c>
      <c r="KV11" s="10">
        <v>88.050003051757813</v>
      </c>
      <c r="KW11" s="10">
        <v>291.07000732421881</v>
      </c>
      <c r="KX11" s="10">
        <v>405.01998901367188</v>
      </c>
      <c r="KY11" s="10">
        <v>87.680000305175781</v>
      </c>
      <c r="KZ11" s="10">
        <v>105.2799987792969</v>
      </c>
      <c r="LA11" s="10">
        <v>322.70999145507813</v>
      </c>
      <c r="LB11" s="10">
        <v>62.819999694824219</v>
      </c>
      <c r="LC11" s="10">
        <v>1284.430053710938</v>
      </c>
      <c r="LD11" s="10">
        <v>50.029998779296882</v>
      </c>
      <c r="LE11" s="10">
        <v>93.349998474121094</v>
      </c>
      <c r="LF11" s="10">
        <v>70.760002136230469</v>
      </c>
      <c r="LG11" s="10">
        <v>336.33999633789063</v>
      </c>
      <c r="LH11" s="10">
        <v>148.00999450683591</v>
      </c>
      <c r="LI11" s="10">
        <v>113.94000244140619</v>
      </c>
      <c r="LJ11" s="10">
        <v>107.90000152587891</v>
      </c>
      <c r="LK11" s="10">
        <v>302.010009765625</v>
      </c>
      <c r="LL11" s="10">
        <v>66.519996643066406</v>
      </c>
      <c r="LM11" s="10">
        <v>74.349998474121094</v>
      </c>
      <c r="LN11" s="10">
        <v>550.28997802734375</v>
      </c>
      <c r="LO11" s="10">
        <v>57.709999084472663</v>
      </c>
      <c r="LP11" s="10">
        <v>352.3599853515625</v>
      </c>
      <c r="LQ11" s="10">
        <v>90.94000244140625</v>
      </c>
      <c r="LR11" s="10">
        <v>40.229999542236328</v>
      </c>
      <c r="LS11" s="10">
        <v>288.1300048828125</v>
      </c>
      <c r="LT11" s="10">
        <v>545.94000244140625</v>
      </c>
      <c r="LU11" s="10">
        <v>50.240001678466797</v>
      </c>
      <c r="LV11" s="10">
        <v>78.870002746582031</v>
      </c>
      <c r="LW11" s="10">
        <v>438.6199951171875</v>
      </c>
      <c r="LX11" s="10">
        <v>41.709999084472663</v>
      </c>
      <c r="LY11" s="10">
        <v>19.809999465942379</v>
      </c>
      <c r="LZ11" s="10">
        <v>20.120000839233398</v>
      </c>
      <c r="MA11" s="10">
        <v>72.169998168945313</v>
      </c>
      <c r="MB11" s="10">
        <v>109.40000152587891</v>
      </c>
      <c r="MC11" s="10">
        <v>27.479999542236332</v>
      </c>
      <c r="MD11" s="10">
        <v>250.6600036621094</v>
      </c>
      <c r="ME11" s="10">
        <v>233.9700012207031</v>
      </c>
      <c r="MF11" s="10">
        <v>80.220001220703125</v>
      </c>
      <c r="MG11" s="10">
        <v>448.14999389648438</v>
      </c>
      <c r="MH11" s="10">
        <v>19.409999847412109</v>
      </c>
      <c r="MI11" s="10">
        <v>37.819999694824219</v>
      </c>
      <c r="MJ11" s="10">
        <v>173</v>
      </c>
      <c r="MK11" s="10">
        <v>465.07000732421881</v>
      </c>
      <c r="ML11" s="10">
        <v>6324</v>
      </c>
      <c r="MM11" s="10">
        <v>223.47999572753909</v>
      </c>
      <c r="MN11" s="10">
        <v>931.04998779296875</v>
      </c>
      <c r="MO11" s="10">
        <v>62.639999389648438</v>
      </c>
      <c r="MP11" s="10">
        <v>412.6300048828125</v>
      </c>
      <c r="MQ11" s="10">
        <v>82.849998474121094</v>
      </c>
      <c r="MR11" s="10">
        <v>108.0899963378906</v>
      </c>
      <c r="MS11" s="10">
        <v>66.599998474121094</v>
      </c>
      <c r="MT11" s="10">
        <v>117.9100036621094</v>
      </c>
      <c r="MU11" s="10">
        <v>90.230003356933594</v>
      </c>
      <c r="MV11" s="10">
        <v>86.430000305175781</v>
      </c>
      <c r="MW11" s="10">
        <v>153.1000061035156</v>
      </c>
      <c r="MX11" s="10">
        <v>253.16999816894531</v>
      </c>
      <c r="MY11" s="10">
        <v>16.059999465942379</v>
      </c>
      <c r="MZ11" s="10">
        <v>414.17001342773438</v>
      </c>
      <c r="NA11" s="10">
        <v>125.80999755859381</v>
      </c>
      <c r="NB11" s="10">
        <v>370.77999877929688</v>
      </c>
      <c r="NC11" s="10">
        <v>75.529998779296875</v>
      </c>
      <c r="ND11" s="10">
        <v>69.900001525878906</v>
      </c>
      <c r="NE11" s="10">
        <v>186.82000732421881</v>
      </c>
      <c r="NF11" s="10">
        <v>35.610000610351563</v>
      </c>
      <c r="NG11" s="10">
        <v>17.35000038146973</v>
      </c>
      <c r="NH11" s="10">
        <v>98.25</v>
      </c>
      <c r="NI11" s="10">
        <v>112.11000061035161</v>
      </c>
      <c r="NJ11" s="10">
        <v>82.279998779296875</v>
      </c>
      <c r="NK11" s="10">
        <v>224.67999267578119</v>
      </c>
      <c r="NL11" s="10">
        <v>135.42999267578119</v>
      </c>
      <c r="NM11" s="10">
        <v>387.16000366210938</v>
      </c>
      <c r="NN11" s="10">
        <v>145.55000305175781</v>
      </c>
      <c r="NO11" s="10">
        <v>27.329999923706051</v>
      </c>
      <c r="NP11" s="10">
        <v>79.089996337890625</v>
      </c>
      <c r="NQ11" s="10">
        <v>127.4199981689453</v>
      </c>
      <c r="NR11" s="10">
        <v>124.1800003051758</v>
      </c>
      <c r="NS11" s="10">
        <v>96.339996337890625</v>
      </c>
      <c r="NT11" s="10">
        <v>63.200000762939453</v>
      </c>
      <c r="NU11" s="10">
        <v>146.50999450683591</v>
      </c>
      <c r="NV11" s="10">
        <v>279.35000610351563</v>
      </c>
      <c r="NW11" s="10">
        <v>84.620002746582031</v>
      </c>
      <c r="NX11" s="10">
        <v>110.2099990844727</v>
      </c>
      <c r="NY11" s="10">
        <v>201.88999938964841</v>
      </c>
      <c r="NZ11" s="10">
        <v>132.08000183105469</v>
      </c>
      <c r="OA11" s="10">
        <v>134.6000061035156</v>
      </c>
      <c r="OB11" s="10">
        <v>131.80000305175781</v>
      </c>
      <c r="OC11" s="10">
        <v>109.4899978637695</v>
      </c>
      <c r="OD11" s="10">
        <v>87.970001220703125</v>
      </c>
      <c r="OE11" s="10">
        <v>60.779998779296882</v>
      </c>
      <c r="OF11" s="10">
        <v>65.739997863769531</v>
      </c>
      <c r="OG11" s="10">
        <v>20.35000038146973</v>
      </c>
      <c r="OH11" s="10">
        <v>152.0899963378906</v>
      </c>
      <c r="OI11" s="10">
        <v>225.3500061035156</v>
      </c>
      <c r="OJ11" s="10">
        <v>122.629997253418</v>
      </c>
      <c r="OK11" s="10">
        <v>73.919998168945313</v>
      </c>
      <c r="OL11" s="10">
        <v>310.91000366210938</v>
      </c>
      <c r="OM11" s="10">
        <v>40.630001068115227</v>
      </c>
      <c r="ON11" s="10">
        <v>492.64999389648438</v>
      </c>
      <c r="OO11" s="10">
        <v>113.9899978637695</v>
      </c>
      <c r="OP11" s="10">
        <v>107.44000244140619</v>
      </c>
      <c r="OQ11" s="10">
        <v>398.30999755859381</v>
      </c>
      <c r="OR11" s="10">
        <v>224.27000427246091</v>
      </c>
      <c r="OS11" s="10">
        <v>228.1000061035156</v>
      </c>
      <c r="OT11" s="10">
        <v>57.610000610351563</v>
      </c>
      <c r="OU11" s="10">
        <v>65.319999694824219</v>
      </c>
      <c r="OV11" s="10">
        <v>73.620002746582031</v>
      </c>
      <c r="OW11" s="10">
        <v>590.3900146484375</v>
      </c>
      <c r="OX11" s="10">
        <v>280.20001220703119</v>
      </c>
      <c r="OY11" s="10">
        <v>125.44000244140619</v>
      </c>
      <c r="OZ11" s="10">
        <v>113.9199981689453</v>
      </c>
      <c r="PA11" s="10">
        <v>149.66999816894531</v>
      </c>
      <c r="PB11" s="10">
        <v>275</v>
      </c>
      <c r="PC11" s="10">
        <v>71.279998779296875</v>
      </c>
      <c r="PD11" s="10">
        <v>33.430000305175781</v>
      </c>
      <c r="PE11" s="10">
        <v>103.98000335693359</v>
      </c>
      <c r="PF11" s="10">
        <v>101.2600021362305</v>
      </c>
      <c r="PG11" s="10">
        <v>72.129997253417969</v>
      </c>
      <c r="PH11" s="10">
        <v>107</v>
      </c>
      <c r="PI11" s="10">
        <v>224.00999450683591</v>
      </c>
      <c r="PJ11" s="10">
        <v>279.26998901367188</v>
      </c>
      <c r="PK11" s="10">
        <v>337.55999755859381</v>
      </c>
      <c r="PL11" s="10">
        <v>453.510009765625</v>
      </c>
      <c r="PM11" s="10">
        <v>76.160003662109375</v>
      </c>
      <c r="PN11" s="10">
        <v>137.25999450683591</v>
      </c>
      <c r="PO11" s="10">
        <v>121.0899963378906</v>
      </c>
      <c r="PP11" s="10">
        <v>151.78999328613281</v>
      </c>
      <c r="PQ11" s="10">
        <v>42.849998474121087</v>
      </c>
      <c r="PR11" s="10">
        <v>81.610000610351563</v>
      </c>
      <c r="PS11" s="10">
        <v>132.99000549316409</v>
      </c>
      <c r="PT11" s="10">
        <v>143.6199951171875</v>
      </c>
      <c r="PU11" s="10">
        <v>389.25</v>
      </c>
      <c r="PV11" s="10">
        <v>249.2799987792969</v>
      </c>
      <c r="PW11" s="10">
        <v>111.23000335693359</v>
      </c>
      <c r="PX11" s="10">
        <v>261.07000732421881</v>
      </c>
      <c r="PY11" s="10">
        <v>178.3699951171875</v>
      </c>
      <c r="PZ11" s="10">
        <v>77.930000305175781</v>
      </c>
      <c r="QA11" s="10">
        <v>545.84002685546875</v>
      </c>
      <c r="QB11" s="10">
        <v>86.370002746582031</v>
      </c>
      <c r="QC11" s="10">
        <v>224.19000244140619</v>
      </c>
      <c r="QD11" s="10">
        <v>199.0299987792969</v>
      </c>
      <c r="QE11" s="10">
        <v>902.6300048828125</v>
      </c>
      <c r="QF11" s="10">
        <v>172.30999755859381</v>
      </c>
      <c r="QG11" s="10">
        <v>53.529998779296882</v>
      </c>
      <c r="QH11" s="10">
        <v>32.799999237060547</v>
      </c>
      <c r="QI11" s="10">
        <v>398.27999877929688</v>
      </c>
      <c r="QJ11" s="10">
        <v>55.319999694824219</v>
      </c>
      <c r="QK11" s="10">
        <v>38.709999084472663</v>
      </c>
      <c r="QL11" s="10">
        <v>46.650001525878913</v>
      </c>
      <c r="QM11" s="10">
        <v>40.5</v>
      </c>
      <c r="QN11" s="10">
        <v>442.25</v>
      </c>
      <c r="QO11" s="10">
        <v>231.5</v>
      </c>
      <c r="QP11" s="10">
        <v>53.259998321533203</v>
      </c>
      <c r="QQ11" s="10">
        <v>185.5</v>
      </c>
      <c r="QR11" s="10">
        <v>474</v>
      </c>
      <c r="QS11" s="10">
        <v>504.739990234375</v>
      </c>
      <c r="QT11" s="10">
        <v>139.25999450683591</v>
      </c>
      <c r="QU11" s="10">
        <v>128.77000427246091</v>
      </c>
      <c r="QV11" s="10">
        <v>48.569999694824219</v>
      </c>
      <c r="QW11" s="10">
        <v>211.3999938964844</v>
      </c>
      <c r="QX11" s="10">
        <v>229.2200012207031</v>
      </c>
      <c r="QY11" s="10">
        <v>33.430000305175781</v>
      </c>
      <c r="QZ11" s="10">
        <v>347.739990234375</v>
      </c>
      <c r="RA11" s="10">
        <v>19.389999389648441</v>
      </c>
      <c r="RB11" s="10">
        <v>10.22000026702881</v>
      </c>
      <c r="RC11" s="10">
        <v>31.639999389648441</v>
      </c>
      <c r="RD11" s="10">
        <v>239.7799987792969</v>
      </c>
      <c r="RE11" s="10">
        <v>223.9700012207031</v>
      </c>
      <c r="RF11" s="10">
        <v>61.689998626708977</v>
      </c>
      <c r="RG11" s="10">
        <v>119.19000244140619</v>
      </c>
      <c r="RH11" s="10">
        <v>29.569999694824219</v>
      </c>
      <c r="RI11" s="10">
        <v>53.036666870117188</v>
      </c>
      <c r="RJ11" s="10">
        <v>89.029998779296875</v>
      </c>
      <c r="RK11" s="10">
        <v>12.86999988555908</v>
      </c>
      <c r="RL11" s="10">
        <v>162.50999450683591</v>
      </c>
      <c r="RM11" s="10">
        <v>274.39999389648438</v>
      </c>
      <c r="RN11" s="10">
        <v>89.610000610351563</v>
      </c>
      <c r="RO11" s="10">
        <v>45.709999084472663</v>
      </c>
      <c r="RP11" s="10">
        <v>84.599998474121094</v>
      </c>
      <c r="RQ11" s="10">
        <v>371.66000366210938</v>
      </c>
      <c r="RR11" s="10">
        <v>42.869998931884773</v>
      </c>
      <c r="RS11" s="10">
        <v>32.770000457763672</v>
      </c>
      <c r="RT11" s="10">
        <v>33.970001220703118</v>
      </c>
      <c r="RU11" s="10">
        <v>34.099998474121087</v>
      </c>
      <c r="RV11" s="10">
        <v>212.6000061035156</v>
      </c>
      <c r="RW11" s="10">
        <v>725.32000732421875</v>
      </c>
      <c r="RX11" s="10">
        <v>109.13999938964839</v>
      </c>
      <c r="RY11" s="10">
        <v>62.849998474121087</v>
      </c>
      <c r="RZ11" s="10">
        <v>111.9300003051758</v>
      </c>
      <c r="SA11" s="10">
        <v>136.36000061035159</v>
      </c>
      <c r="SB11" s="10">
        <v>254.77000427246091</v>
      </c>
      <c r="SC11" s="10">
        <v>132.27000427246091</v>
      </c>
      <c r="SD11" s="10">
        <v>185.50999450683591</v>
      </c>
    </row>
    <row r="12" spans="1:498" x14ac:dyDescent="0.25">
      <c r="A12" s="13">
        <v>45170</v>
      </c>
      <c r="B12" s="10">
        <v>106.9499969482422</v>
      </c>
      <c r="C12" s="10">
        <v>73.569999694824219</v>
      </c>
      <c r="D12" s="10">
        <v>102.84999847412109</v>
      </c>
      <c r="E12" s="10">
        <v>148.19999694824219</v>
      </c>
      <c r="F12" s="10">
        <v>327.739990234375</v>
      </c>
      <c r="G12" s="10">
        <v>563.21002197265625</v>
      </c>
      <c r="H12" s="10">
        <v>109.4499969482422</v>
      </c>
      <c r="I12" s="10">
        <v>17.889999389648441</v>
      </c>
      <c r="J12" s="10">
        <v>74.769996643066406</v>
      </c>
      <c r="K12" s="10">
        <v>121.9100036621094</v>
      </c>
      <c r="L12" s="10">
        <v>298.01998901367188</v>
      </c>
      <c r="M12" s="10">
        <v>132.69000244140619</v>
      </c>
      <c r="N12" s="10">
        <v>105.34999847412109</v>
      </c>
      <c r="O12" s="10">
        <v>200.25999450683591</v>
      </c>
      <c r="P12" s="10">
        <v>116.9499969482422</v>
      </c>
      <c r="Q12" s="10">
        <v>374.89999389648438</v>
      </c>
      <c r="R12" s="10">
        <v>114.75</v>
      </c>
      <c r="S12" s="10">
        <v>49.790000915527337</v>
      </c>
      <c r="T12" s="10">
        <v>110.55999755859381</v>
      </c>
      <c r="U12" s="10">
        <v>135.6600036621094</v>
      </c>
      <c r="V12" s="10">
        <v>136.80000305175781</v>
      </c>
      <c r="W12" s="10">
        <v>44.110000610351563</v>
      </c>
      <c r="X12" s="10">
        <v>138.1199951171875</v>
      </c>
      <c r="Y12" s="10">
        <v>9.7799997329711914</v>
      </c>
      <c r="Z12" s="10">
        <v>78.449996948242188</v>
      </c>
      <c r="AA12" s="10">
        <v>14.680000305175779</v>
      </c>
      <c r="AB12" s="10">
        <v>77.519996643066406</v>
      </c>
      <c r="AC12" s="10">
        <v>159.6199951171875</v>
      </c>
      <c r="AD12" s="10">
        <v>59.240001678466797</v>
      </c>
      <c r="AE12" s="10">
        <v>180.78999328613281</v>
      </c>
      <c r="AF12" s="10">
        <v>137.80000305175781</v>
      </c>
      <c r="AG12" s="10">
        <v>342.30999755859381</v>
      </c>
      <c r="AH12" s="10">
        <v>160.6499938964844</v>
      </c>
      <c r="AI12" s="10">
        <v>256.70999145507813</v>
      </c>
      <c r="AJ12" s="10">
        <v>88.569999694824219</v>
      </c>
      <c r="AK12" s="10">
        <v>182.42999267578119</v>
      </c>
      <c r="AL12" s="10">
        <v>319.02999877929688</v>
      </c>
      <c r="AM12" s="10">
        <v>334.33999633789063</v>
      </c>
      <c r="AN12" s="10">
        <v>45.080001831054688</v>
      </c>
      <c r="AO12" s="10">
        <v>189.46000671386719</v>
      </c>
      <c r="AP12" s="10">
        <v>153.99000549316409</v>
      </c>
      <c r="AQ12" s="10">
        <v>104.4899978637695</v>
      </c>
      <c r="AR12" s="10">
        <v>77.010002136230469</v>
      </c>
      <c r="AS12" s="10">
        <v>79.790000915527344</v>
      </c>
      <c r="AT12" s="10">
        <v>197.36000061035159</v>
      </c>
      <c r="AU12" s="10">
        <v>231.07000732421881</v>
      </c>
      <c r="AV12" s="10">
        <v>140.02000427246091</v>
      </c>
      <c r="AW12" s="10">
        <v>14.64999961853027</v>
      </c>
      <c r="AX12" s="10">
        <v>115.4700012207031</v>
      </c>
      <c r="AY12" s="10">
        <v>220.02000427246091</v>
      </c>
      <c r="AZ12" s="10">
        <v>255.75</v>
      </c>
      <c r="BA12" s="10">
        <v>2542.389892578125</v>
      </c>
      <c r="BB12" s="10">
        <v>181.3500061035156</v>
      </c>
      <c r="BC12" s="10">
        <v>189.02000427246091</v>
      </c>
      <c r="BD12" s="10">
        <v>215.38999938964841</v>
      </c>
      <c r="BE12" s="10">
        <v>36.810001373291023</v>
      </c>
      <c r="BF12" s="10">
        <v>54.930000305175781</v>
      </c>
      <c r="BG12" s="10">
        <v>28.979999542236332</v>
      </c>
      <c r="BH12" s="10">
        <v>45.419998168945313</v>
      </c>
      <c r="BI12" s="10">
        <v>38.150001525878913</v>
      </c>
      <c r="BJ12" s="10">
        <v>40.599998474121087</v>
      </c>
      <c r="BK12" s="10">
        <v>278.45999145507813</v>
      </c>
      <c r="BL12" s="10">
        <v>362.45999145507813</v>
      </c>
      <c r="BM12" s="10">
        <v>75.269996643066406</v>
      </c>
      <c r="BN12" s="10">
        <v>394.60000610351563</v>
      </c>
      <c r="BO12" s="10">
        <v>78.760002136230469</v>
      </c>
      <c r="BP12" s="10">
        <v>267.17001342773438</v>
      </c>
      <c r="BQ12" s="10">
        <v>706.19000244140625</v>
      </c>
      <c r="BR12" s="10">
        <v>104.4899978637695</v>
      </c>
      <c r="BS12" s="10">
        <v>223.3999938964844</v>
      </c>
      <c r="BT12" s="10">
        <v>3114.889892578125</v>
      </c>
      <c r="BU12" s="10">
        <v>41.290000915527337</v>
      </c>
      <c r="BV12" s="10">
        <v>66.680000305175781</v>
      </c>
      <c r="BW12" s="10">
        <v>53.619998931884773</v>
      </c>
      <c r="BX12" s="10">
        <v>62.020000457763672</v>
      </c>
      <c r="BY12" s="10">
        <v>872.52001953125</v>
      </c>
      <c r="BZ12" s="10">
        <v>187.74000549316409</v>
      </c>
      <c r="CA12" s="10">
        <v>74.199996948242188</v>
      </c>
      <c r="CB12" s="10">
        <v>66.739997863769531</v>
      </c>
      <c r="CC12" s="10">
        <v>148.74000549316409</v>
      </c>
      <c r="CD12" s="10">
        <v>115.01999664306641</v>
      </c>
      <c r="CE12" s="10">
        <v>243.55999755859381</v>
      </c>
      <c r="CF12" s="10">
        <v>55.75</v>
      </c>
      <c r="CG12" s="10">
        <v>106.7399978637695</v>
      </c>
      <c r="CH12" s="10">
        <v>40.889999389648438</v>
      </c>
      <c r="CI12" s="10">
        <v>103.5</v>
      </c>
      <c r="CJ12" s="10">
        <v>87.580001831054688</v>
      </c>
      <c r="CK12" s="10">
        <v>83.580001831054688</v>
      </c>
      <c r="CL12" s="10">
        <v>15.72999954223633</v>
      </c>
      <c r="CM12" s="10">
        <v>57.939998626708977</v>
      </c>
      <c r="CN12" s="10">
        <v>50.200000762939453</v>
      </c>
      <c r="CO12" s="10">
        <v>286.25</v>
      </c>
      <c r="CP12" s="10">
        <v>150.36000061035159</v>
      </c>
      <c r="CQ12" s="10">
        <v>86.019996643066406</v>
      </c>
      <c r="CR12" s="10">
        <v>213.17999267578119</v>
      </c>
      <c r="CS12" s="10">
        <v>128.8999938964844</v>
      </c>
      <c r="CT12" s="10">
        <v>174.96000671386719</v>
      </c>
      <c r="CU12" s="10">
        <v>61.270000457763672</v>
      </c>
      <c r="CV12" s="10">
        <v>27.64999961853027</v>
      </c>
      <c r="CW12" s="10">
        <v>79.209999084472656</v>
      </c>
      <c r="CX12" s="10">
        <v>88.349998474121094</v>
      </c>
      <c r="CY12" s="10">
        <v>209.6199951171875</v>
      </c>
      <c r="CZ12" s="10">
        <v>60.5</v>
      </c>
      <c r="DA12" s="10">
        <v>422.32000732421881</v>
      </c>
      <c r="DB12" s="10">
        <v>164.30000305175781</v>
      </c>
      <c r="DC12" s="10">
        <v>1938.609985351562</v>
      </c>
      <c r="DD12" s="10">
        <v>203.28999328613281</v>
      </c>
      <c r="DE12" s="10">
        <v>96.260002136230469</v>
      </c>
      <c r="DF12" s="10">
        <v>276.67001342773438</v>
      </c>
      <c r="DG12" s="10">
        <v>106.48000335693359</v>
      </c>
      <c r="DH12" s="10">
        <v>505.260009765625</v>
      </c>
      <c r="DI12" s="10">
        <v>57.840000152587891</v>
      </c>
      <c r="DJ12" s="10">
        <v>41.590000152587891</v>
      </c>
      <c r="DK12" s="10">
        <v>28.629999160766602</v>
      </c>
      <c r="DL12" s="10">
        <v>155.24000549316409</v>
      </c>
      <c r="DM12" s="10">
        <v>202.88999938964841</v>
      </c>
      <c r="DN12" s="10">
        <v>55.389999389648438</v>
      </c>
      <c r="DO12" s="10">
        <v>59.310001373291023</v>
      </c>
      <c r="DP12" s="10">
        <v>71.730003356933594</v>
      </c>
      <c r="DQ12" s="10">
        <v>73.269996643066406</v>
      </c>
      <c r="DR12" s="10">
        <v>45.729999542236328</v>
      </c>
      <c r="DS12" s="10">
        <v>48.700000762939453</v>
      </c>
      <c r="DT12" s="10">
        <v>29.319999694824219</v>
      </c>
      <c r="DU12" s="10">
        <v>122.13999938964839</v>
      </c>
      <c r="DV12" s="10">
        <v>88.349998474121094</v>
      </c>
      <c r="DW12" s="10">
        <v>259.48001098632813</v>
      </c>
      <c r="DX12" s="10">
        <v>107.2900009155273</v>
      </c>
      <c r="DY12" s="10">
        <v>91.172500610351563</v>
      </c>
      <c r="DZ12" s="10">
        <v>44.979999542236328</v>
      </c>
      <c r="EA12" s="10">
        <v>32.860000610351563</v>
      </c>
      <c r="EB12" s="10">
        <v>51.110000610351563</v>
      </c>
      <c r="EC12" s="10">
        <v>82.569999694824219</v>
      </c>
      <c r="ED12" s="10">
        <v>544.25</v>
      </c>
      <c r="EE12" s="10">
        <v>28.45999908447266</v>
      </c>
      <c r="EF12" s="10">
        <v>99.769996643066406</v>
      </c>
      <c r="EG12" s="10">
        <v>30.629999160766602</v>
      </c>
      <c r="EH12" s="10">
        <v>236.63999938964841</v>
      </c>
      <c r="EI12" s="10">
        <v>65.669998168945313</v>
      </c>
      <c r="EJ12" s="10">
        <v>235.45213317871091</v>
      </c>
      <c r="EK12" s="10">
        <v>155.55999755859381</v>
      </c>
      <c r="EL12" s="10">
        <v>102.9899978637695</v>
      </c>
      <c r="EM12" s="10">
        <v>73.110000610351563</v>
      </c>
      <c r="EN12" s="10">
        <v>532.75</v>
      </c>
      <c r="EO12" s="10">
        <v>418.89999389648438</v>
      </c>
      <c r="EP12" s="10">
        <v>42.860000610351563</v>
      </c>
      <c r="EQ12" s="10">
        <v>37.479999542236328</v>
      </c>
      <c r="ER12" s="10">
        <v>52.919998168945313</v>
      </c>
      <c r="ES12" s="10">
        <v>101.90000152587891</v>
      </c>
      <c r="ET12" s="10">
        <v>154.6600036621094</v>
      </c>
      <c r="EU12" s="10">
        <v>132.11000061035159</v>
      </c>
      <c r="EV12" s="10">
        <v>92.05999755859375</v>
      </c>
      <c r="EW12" s="10">
        <v>130.27000427246091</v>
      </c>
      <c r="EX12" s="10">
        <v>118.7399978637695</v>
      </c>
      <c r="EY12" s="10">
        <v>47.880001068115227</v>
      </c>
      <c r="EZ12" s="10">
        <v>391.1400146484375</v>
      </c>
      <c r="FA12" s="10">
        <v>148.69999694824219</v>
      </c>
      <c r="FB12" s="10">
        <v>55.290000915527337</v>
      </c>
      <c r="FC12" s="10">
        <v>120.1800003051758</v>
      </c>
      <c r="FD12" s="10">
        <v>102.1800003051758</v>
      </c>
      <c r="FE12" s="10">
        <v>87.930000305175781</v>
      </c>
      <c r="FF12" s="10">
        <v>77.970001220703125</v>
      </c>
      <c r="FG12" s="10">
        <v>85.959999084472656</v>
      </c>
      <c r="FH12" s="10">
        <v>233.66999816894531</v>
      </c>
      <c r="FI12" s="10">
        <v>45.099998474121087</v>
      </c>
      <c r="FJ12" s="10">
        <v>182.69999694824219</v>
      </c>
      <c r="FK12" s="10">
        <v>68.410003662109375</v>
      </c>
      <c r="FL12" s="10">
        <v>76.379997253417969</v>
      </c>
      <c r="FM12" s="10">
        <v>120.5400009155273</v>
      </c>
      <c r="FN12" s="10">
        <v>442.3800048828125</v>
      </c>
      <c r="FO12" s="10">
        <v>557.1099853515625</v>
      </c>
      <c r="FP12" s="10">
        <v>98.919998168945313</v>
      </c>
      <c r="FQ12" s="10">
        <v>128.72999572753909</v>
      </c>
      <c r="FR12" s="10">
        <v>94.339996337890625</v>
      </c>
      <c r="FS12" s="10">
        <v>130.97999572753909</v>
      </c>
      <c r="FT12" s="10">
        <v>258.54998779296881</v>
      </c>
      <c r="FU12" s="10">
        <v>44.220001220703118</v>
      </c>
      <c r="FV12" s="10">
        <v>206.83000183105469</v>
      </c>
      <c r="FW12" s="10">
        <v>777.52001953125</v>
      </c>
      <c r="FX12" s="10">
        <v>64</v>
      </c>
      <c r="FY12" s="10">
        <v>237.52000427246091</v>
      </c>
      <c r="FZ12" s="10">
        <v>161.69999694824219</v>
      </c>
      <c r="GA12" s="10">
        <v>74.635002136230469</v>
      </c>
      <c r="GB12" s="10">
        <v>364.79998779296881</v>
      </c>
      <c r="GC12" s="10">
        <v>53.599998474121087</v>
      </c>
      <c r="GD12" s="10">
        <v>63.049999237060547</v>
      </c>
      <c r="GE12" s="10">
        <v>39.990001678466797</v>
      </c>
      <c r="GF12" s="10">
        <v>109.5699996948242</v>
      </c>
      <c r="GG12" s="10">
        <v>116.370002746582</v>
      </c>
      <c r="GH12" s="10">
        <v>128.83000183105469</v>
      </c>
      <c r="GI12" s="10">
        <v>113.51999664306641</v>
      </c>
      <c r="GJ12" s="10">
        <v>164.61000061035159</v>
      </c>
      <c r="GK12" s="10">
        <v>435.48001098632813</v>
      </c>
      <c r="GL12" s="10">
        <v>896.55999755859375</v>
      </c>
      <c r="GM12" s="10">
        <v>57.279998779296882</v>
      </c>
      <c r="GN12" s="10">
        <v>98.05999755859375</v>
      </c>
      <c r="GO12" s="10">
        <v>260.97000122070313</v>
      </c>
      <c r="GP12" s="10">
        <v>56.680000305175781</v>
      </c>
      <c r="GQ12" s="10">
        <v>27.04999923706055</v>
      </c>
      <c r="GR12" s="10">
        <v>186.3699951171875</v>
      </c>
      <c r="GS12" s="10">
        <v>35.689998626708977</v>
      </c>
      <c r="GT12" s="10">
        <v>122.80999755859381</v>
      </c>
      <c r="GU12" s="10">
        <v>272.8599853515625</v>
      </c>
      <c r="GV12" s="10">
        <v>86.089996337890625</v>
      </c>
      <c r="GW12" s="10">
        <v>12.14000034332275</v>
      </c>
      <c r="GX12" s="10">
        <v>60.869998931884773</v>
      </c>
      <c r="GY12" s="10">
        <v>79.019996643066406</v>
      </c>
      <c r="GZ12" s="10">
        <v>30.979999542236332</v>
      </c>
      <c r="HA12" s="10">
        <v>28.75</v>
      </c>
      <c r="HB12" s="10">
        <v>26.870000839233398</v>
      </c>
      <c r="HC12" s="10">
        <v>41.490001678466797</v>
      </c>
      <c r="HD12" s="10">
        <v>106.0400009155273</v>
      </c>
      <c r="HE12" s="10">
        <v>350.04000854492188</v>
      </c>
      <c r="HF12" s="10">
        <v>69.25</v>
      </c>
      <c r="HG12" s="10">
        <v>20.469999313354489</v>
      </c>
      <c r="HH12" s="10">
        <v>118.94000244140619</v>
      </c>
      <c r="HI12" s="10">
        <v>226.3699951171875</v>
      </c>
      <c r="HJ12" s="10">
        <v>114.2399978637695</v>
      </c>
      <c r="HK12" s="10">
        <v>66.25</v>
      </c>
      <c r="HL12" s="10">
        <v>33.540000915527337</v>
      </c>
      <c r="HM12" s="10">
        <v>155.08000183105469</v>
      </c>
      <c r="HN12" s="10">
        <v>76.650001525878906</v>
      </c>
      <c r="HO12" s="10">
        <v>129.32000732421881</v>
      </c>
      <c r="HP12" s="10">
        <v>111.4499969482422</v>
      </c>
      <c r="HQ12" s="10">
        <v>327.39999389648438</v>
      </c>
      <c r="HR12" s="10">
        <v>39.810001373291023</v>
      </c>
      <c r="HS12" s="10">
        <v>72.430000305175781</v>
      </c>
      <c r="HT12" s="10">
        <v>72.790000915527344</v>
      </c>
      <c r="HU12" s="10">
        <v>280.80999755859381</v>
      </c>
      <c r="HV12" s="10">
        <v>20.64999961853027</v>
      </c>
      <c r="HW12" s="10">
        <v>76.349998474121094</v>
      </c>
      <c r="HX12" s="10">
        <v>213.8500061035156</v>
      </c>
      <c r="HY12" s="10">
        <v>157.19999694824219</v>
      </c>
      <c r="HZ12" s="10">
        <v>17.979999542236332</v>
      </c>
      <c r="IA12" s="10">
        <v>151</v>
      </c>
      <c r="IB12" s="10">
        <v>75.120002746582031</v>
      </c>
      <c r="IC12" s="10">
        <v>333.07998657226563</v>
      </c>
      <c r="ID12" s="10">
        <v>188.38999938964841</v>
      </c>
      <c r="IE12" s="10">
        <v>38.400001525878913</v>
      </c>
      <c r="IF12" s="10">
        <v>15.819999694824221</v>
      </c>
      <c r="IG12" s="10">
        <v>49.689998626708977</v>
      </c>
      <c r="IH12" s="10">
        <v>30.370000839233398</v>
      </c>
      <c r="II12" s="10">
        <v>328.52999877929688</v>
      </c>
      <c r="IJ12" s="10">
        <v>460.6099853515625</v>
      </c>
      <c r="IK12" s="10">
        <v>11.22000026702881</v>
      </c>
      <c r="IL12" s="10">
        <v>220.86000061035159</v>
      </c>
      <c r="IM12" s="10">
        <v>147.94000244140619</v>
      </c>
      <c r="IN12" s="10">
        <v>228.2799987792969</v>
      </c>
      <c r="IO12" s="10">
        <v>511.29000854492188</v>
      </c>
      <c r="IP12" s="10">
        <v>247.3699951171875</v>
      </c>
      <c r="IQ12" s="10">
        <v>168.46000671386719</v>
      </c>
      <c r="IR12" s="10">
        <v>64.69000244140625</v>
      </c>
      <c r="IS12" s="10">
        <v>69.949996948242188</v>
      </c>
      <c r="IT12" s="10">
        <v>192.17999267578119</v>
      </c>
      <c r="IU12" s="10">
        <v>36.610000610351563</v>
      </c>
      <c r="IV12" s="10">
        <v>117.0100021362305</v>
      </c>
      <c r="IW12" s="10">
        <v>70.25</v>
      </c>
      <c r="IX12" s="10">
        <v>35.189998626708977</v>
      </c>
      <c r="IY12" s="10">
        <v>32.599998474121087</v>
      </c>
      <c r="IZ12" s="10">
        <v>549.5999755859375</v>
      </c>
      <c r="JA12" s="10">
        <v>310.41000366210938</v>
      </c>
      <c r="JB12" s="10">
        <v>16.030000686645511</v>
      </c>
      <c r="JC12" s="10">
        <v>34.180000305175781</v>
      </c>
      <c r="JD12" s="10">
        <v>224.33000183105469</v>
      </c>
      <c r="JE12" s="10">
        <v>63.610000610351563</v>
      </c>
      <c r="JF12" s="10">
        <v>191.72999572753909</v>
      </c>
      <c r="JG12" s="10">
        <v>115.4199981689453</v>
      </c>
      <c r="JH12" s="10">
        <v>158.08000183105469</v>
      </c>
      <c r="JI12" s="10">
        <v>135.3800048828125</v>
      </c>
      <c r="JJ12" s="10">
        <v>160.47999572753909</v>
      </c>
      <c r="JK12" s="10">
        <v>59.779998779296882</v>
      </c>
      <c r="JL12" s="10">
        <v>146.82000732421881</v>
      </c>
      <c r="JM12" s="10">
        <v>29.309999465942379</v>
      </c>
      <c r="JN12" s="10">
        <v>56.2347412109375</v>
      </c>
      <c r="JO12" s="10">
        <v>33.549999237060547</v>
      </c>
      <c r="JP12" s="10">
        <v>11.560000419616699</v>
      </c>
      <c r="JQ12" s="10">
        <v>133.8800048828125</v>
      </c>
      <c r="JR12" s="10">
        <v>127.4599990844727</v>
      </c>
      <c r="JS12" s="10">
        <v>18.879999160766602</v>
      </c>
      <c r="JT12" s="10">
        <v>17.139999389648441</v>
      </c>
      <c r="JU12" s="10">
        <v>507.01998901367188</v>
      </c>
      <c r="JV12" s="10">
        <v>32.580001831054688</v>
      </c>
      <c r="JW12" s="10">
        <v>45.979999542236328</v>
      </c>
      <c r="JX12" s="10">
        <v>177.25999450683591</v>
      </c>
      <c r="JY12" s="10">
        <v>206.58000183105469</v>
      </c>
      <c r="JZ12" s="10">
        <v>701.96002197265625</v>
      </c>
      <c r="KA12" s="10">
        <v>97.279998779296875</v>
      </c>
      <c r="KB12" s="10">
        <v>54.930000305175781</v>
      </c>
      <c r="KC12" s="10">
        <v>98.839996337890625</v>
      </c>
      <c r="KD12" s="10">
        <v>120.6600036621094</v>
      </c>
      <c r="KE12" s="10">
        <v>388.91000366210938</v>
      </c>
      <c r="KF12" s="10">
        <v>84.050003051757813</v>
      </c>
      <c r="KG12" s="10">
        <v>448.17999267578119</v>
      </c>
      <c r="KH12" s="10">
        <v>62.299999237060547</v>
      </c>
      <c r="KI12" s="10">
        <v>232.50999450683591</v>
      </c>
      <c r="KJ12" s="10">
        <v>404.19000244140619</v>
      </c>
      <c r="KK12" s="10">
        <v>100.9700012207031</v>
      </c>
      <c r="KL12" s="10">
        <v>125.7600021362305</v>
      </c>
      <c r="KM12" s="10">
        <v>27.110000610351559</v>
      </c>
      <c r="KN12" s="10">
        <v>145.96000671386719</v>
      </c>
      <c r="KO12" s="10">
        <v>238.8399963378906</v>
      </c>
      <c r="KP12" s="10">
        <v>205.82000732421881</v>
      </c>
      <c r="KQ12" s="10">
        <v>195.77000427246091</v>
      </c>
      <c r="KR12" s="10">
        <v>457.3900146484375</v>
      </c>
      <c r="KS12" s="10">
        <v>59.720001220703118</v>
      </c>
      <c r="KT12" s="10">
        <v>415.57000732421881</v>
      </c>
      <c r="KU12" s="10">
        <v>46.459999084472663</v>
      </c>
      <c r="KV12" s="10">
        <v>80.459999084472656</v>
      </c>
      <c r="KW12" s="10">
        <v>280.94000244140619</v>
      </c>
      <c r="KX12" s="10">
        <v>412.33999633789063</v>
      </c>
      <c r="KY12" s="10">
        <v>82.129997253417969</v>
      </c>
      <c r="KZ12" s="10">
        <v>109.8399963378906</v>
      </c>
      <c r="LA12" s="10">
        <v>296.3800048828125</v>
      </c>
      <c r="LB12" s="10">
        <v>64.300003051757813</v>
      </c>
      <c r="LC12" s="10">
        <v>1222.5</v>
      </c>
      <c r="LD12" s="10">
        <v>44.349998474121087</v>
      </c>
      <c r="LE12" s="10">
        <v>82.290000915527344</v>
      </c>
      <c r="LF12" s="10">
        <v>70.389999389648438</v>
      </c>
      <c r="LG12" s="10">
        <v>328.66000366210938</v>
      </c>
      <c r="LH12" s="10">
        <v>144.27000427246091</v>
      </c>
      <c r="LI12" s="10">
        <v>112.55999755859381</v>
      </c>
      <c r="LJ12" s="10">
        <v>101.7799987792969</v>
      </c>
      <c r="LK12" s="10">
        <v>310.44000244140619</v>
      </c>
      <c r="LL12" s="10">
        <v>62.909999847412109</v>
      </c>
      <c r="LM12" s="10">
        <v>69.69000244140625</v>
      </c>
      <c r="LN12" s="10">
        <v>524.91998291015625</v>
      </c>
      <c r="LO12" s="10">
        <v>56.549999237060547</v>
      </c>
      <c r="LP12" s="10">
        <v>339.32000732421881</v>
      </c>
      <c r="LQ12" s="10">
        <v>85.75</v>
      </c>
      <c r="LR12" s="10">
        <v>39.849998474121087</v>
      </c>
      <c r="LS12" s="10">
        <v>283.67999267578119</v>
      </c>
      <c r="LT12" s="10">
        <v>541.3900146484375</v>
      </c>
      <c r="LU12" s="10">
        <v>51.939998626708977</v>
      </c>
      <c r="LV12" s="10">
        <v>77.599998474121094</v>
      </c>
      <c r="LW12" s="10">
        <v>439.8800048828125</v>
      </c>
      <c r="LX12" s="10">
        <v>39.319999694824219</v>
      </c>
      <c r="LY12" s="10">
        <v>21.280000686645511</v>
      </c>
      <c r="LZ12" s="10">
        <v>21.79000091552734</v>
      </c>
      <c r="MA12" s="10">
        <v>66.870002746582031</v>
      </c>
      <c r="MB12" s="10">
        <v>102.36000061035161</v>
      </c>
      <c r="MC12" s="10">
        <v>26.559999465942379</v>
      </c>
      <c r="MD12" s="10">
        <v>245.50999450683591</v>
      </c>
      <c r="ME12" s="10">
        <v>206.3800048828125</v>
      </c>
      <c r="MF12" s="10">
        <v>77.290000915527344</v>
      </c>
      <c r="MG12" s="10">
        <v>435.6199951171875</v>
      </c>
      <c r="MH12" s="10">
        <v>16.39999961853027</v>
      </c>
      <c r="MI12" s="10">
        <v>38.450000762939453</v>
      </c>
      <c r="MJ12" s="10">
        <v>172.58000183105469</v>
      </c>
      <c r="MK12" s="10">
        <v>485.08999633789063</v>
      </c>
      <c r="ML12" s="10">
        <v>6509.35009765625</v>
      </c>
      <c r="MM12" s="10">
        <v>209.96000671386719</v>
      </c>
      <c r="MN12" s="10">
        <v>947.45001220703125</v>
      </c>
      <c r="MO12" s="10">
        <v>64.569999694824219</v>
      </c>
      <c r="MP12" s="10">
        <v>435.8699951171875</v>
      </c>
      <c r="MQ12" s="10">
        <v>80.209999084472656</v>
      </c>
      <c r="MR12" s="10">
        <v>99.400001525878906</v>
      </c>
      <c r="MS12" s="10">
        <v>65.550003051757813</v>
      </c>
      <c r="MT12" s="10">
        <v>120.9300003051758</v>
      </c>
      <c r="MU12" s="10">
        <v>86.169998168945313</v>
      </c>
      <c r="MV12" s="10">
        <v>83.519996643066406</v>
      </c>
      <c r="MW12" s="10">
        <v>149.55999755859381</v>
      </c>
      <c r="MX12" s="10">
        <v>242.7200012207031</v>
      </c>
      <c r="MY12" s="10">
        <v>13.64999961853027</v>
      </c>
      <c r="MZ12" s="10">
        <v>422.45999145507813</v>
      </c>
      <c r="NA12" s="10">
        <v>122.40000152587891</v>
      </c>
      <c r="NB12" s="10">
        <v>295.79000854492188</v>
      </c>
      <c r="NC12" s="10">
        <v>63.569999694824219</v>
      </c>
      <c r="ND12" s="10">
        <v>70.959999084472656</v>
      </c>
      <c r="NE12" s="10">
        <v>175.32000732421881</v>
      </c>
      <c r="NF12" s="10">
        <v>35.779998779296882</v>
      </c>
      <c r="NG12" s="10">
        <v>16.45999908447266</v>
      </c>
      <c r="NH12" s="10">
        <v>95.680000305175781</v>
      </c>
      <c r="NI12" s="10">
        <v>117.1699981689453</v>
      </c>
      <c r="NJ12" s="10">
        <v>75.970001220703125</v>
      </c>
      <c r="NK12" s="10">
        <v>241.6600036621094</v>
      </c>
      <c r="NL12" s="10">
        <v>122.2200012207031</v>
      </c>
      <c r="NM12" s="10">
        <v>368.17999267578119</v>
      </c>
      <c r="NN12" s="10">
        <v>142.00999450683591</v>
      </c>
      <c r="NO12" s="10">
        <v>24.760000228881839</v>
      </c>
      <c r="NP12" s="10">
        <v>78.430000305175781</v>
      </c>
      <c r="NQ12" s="10">
        <v>135.47999572753909</v>
      </c>
      <c r="NR12" s="10">
        <v>124.5899963378906</v>
      </c>
      <c r="NS12" s="10">
        <v>96.089996337890625</v>
      </c>
      <c r="NT12" s="10">
        <v>60.5</v>
      </c>
      <c r="NU12" s="10">
        <v>146.75</v>
      </c>
      <c r="NV12" s="10">
        <v>275.79998779296881</v>
      </c>
      <c r="NW12" s="10">
        <v>82.629997253417969</v>
      </c>
      <c r="NX12" s="10">
        <v>108.4499969482422</v>
      </c>
      <c r="NY12" s="10">
        <v>212.36000061035159</v>
      </c>
      <c r="NZ12" s="10">
        <v>115.38999938964839</v>
      </c>
      <c r="OA12" s="10">
        <v>130.52000427246091</v>
      </c>
      <c r="OB12" s="10">
        <v>118.3300018310547</v>
      </c>
      <c r="OC12" s="10">
        <v>106.4100036621094</v>
      </c>
      <c r="OD12" s="10">
        <v>86.279998779296875</v>
      </c>
      <c r="OE12" s="10">
        <v>56.200000762939453</v>
      </c>
      <c r="OF12" s="10">
        <v>62.389999389648438</v>
      </c>
      <c r="OG12" s="10">
        <v>18.559999465942379</v>
      </c>
      <c r="OH12" s="10">
        <v>144.8999938964844</v>
      </c>
      <c r="OI12" s="10">
        <v>159.19000244140619</v>
      </c>
      <c r="OJ12" s="10">
        <v>116.9199981689453</v>
      </c>
      <c r="OK12" s="10">
        <v>74.980003356933594</v>
      </c>
      <c r="OL12" s="10">
        <v>314.04998779296881</v>
      </c>
      <c r="OM12" s="10">
        <v>39.369998931884773</v>
      </c>
      <c r="ON12" s="10">
        <v>499.54000854492188</v>
      </c>
      <c r="OO12" s="10">
        <v>121.6999969482422</v>
      </c>
      <c r="OP12" s="10">
        <v>97.699996948242188</v>
      </c>
      <c r="OQ12" s="10">
        <v>394.239990234375</v>
      </c>
      <c r="OR12" s="10">
        <v>221.5299987792969</v>
      </c>
      <c r="OS12" s="10">
        <v>221.69000244140619</v>
      </c>
      <c r="OT12" s="10">
        <v>60.119998931884773</v>
      </c>
      <c r="OU12" s="10">
        <v>73.699996948242188</v>
      </c>
      <c r="OV12" s="10">
        <v>70.05999755859375</v>
      </c>
      <c r="OW12" s="10">
        <v>590.8800048828125</v>
      </c>
      <c r="OX12" s="10">
        <v>274.82000732421881</v>
      </c>
      <c r="OY12" s="10">
        <v>114.9100036621094</v>
      </c>
      <c r="OZ12" s="10">
        <v>109.6800003051758</v>
      </c>
      <c r="PA12" s="10">
        <v>142.49000549316409</v>
      </c>
      <c r="PB12" s="10">
        <v>270.51998901367188</v>
      </c>
      <c r="PC12" s="10">
        <v>67.220001220703125</v>
      </c>
      <c r="PD12" s="10">
        <v>31.420000076293949</v>
      </c>
      <c r="PE12" s="10">
        <v>94.449996948242188</v>
      </c>
      <c r="PF12" s="10">
        <v>98</v>
      </c>
      <c r="PG12" s="10">
        <v>69.849998474121094</v>
      </c>
      <c r="PH12" s="10">
        <v>107.3000030517578</v>
      </c>
      <c r="PI12" s="10">
        <v>230.8699951171875</v>
      </c>
      <c r="PJ12" s="10">
        <v>284.45001220703119</v>
      </c>
      <c r="PK12" s="10">
        <v>282.16000366210938</v>
      </c>
      <c r="PL12" s="10">
        <v>460.45001220703119</v>
      </c>
      <c r="PM12" s="10">
        <v>70.290000915527344</v>
      </c>
      <c r="PN12" s="10">
        <v>137.33000183105469</v>
      </c>
      <c r="PO12" s="10">
        <v>112.90000152587891</v>
      </c>
      <c r="PP12" s="10">
        <v>141.83000183105469</v>
      </c>
      <c r="PQ12" s="10">
        <v>33.700000762939453</v>
      </c>
      <c r="PR12" s="10">
        <v>87.529998779296875</v>
      </c>
      <c r="PS12" s="10">
        <v>125.51999664306641</v>
      </c>
      <c r="PT12" s="10">
        <v>133.27000427246091</v>
      </c>
      <c r="PU12" s="10">
        <v>420.52999877929688</v>
      </c>
      <c r="PV12" s="10">
        <v>213.55000305175781</v>
      </c>
      <c r="PW12" s="10">
        <v>108.4599990844727</v>
      </c>
      <c r="PX12" s="10">
        <v>245.00999450683591</v>
      </c>
      <c r="PY12" s="10">
        <v>169.83000183105469</v>
      </c>
      <c r="PZ12" s="10">
        <v>78.220001220703125</v>
      </c>
      <c r="QA12" s="10">
        <v>557.219970703125</v>
      </c>
      <c r="QB12" s="10">
        <v>92.639999389648438</v>
      </c>
      <c r="QC12" s="10">
        <v>220.52000427246091</v>
      </c>
      <c r="QD12" s="10">
        <v>205.22999572753909</v>
      </c>
      <c r="QE12" s="10">
        <v>911.32000732421875</v>
      </c>
      <c r="QF12" s="10">
        <v>162.30000305175781</v>
      </c>
      <c r="QG12" s="10">
        <v>55.060001373291023</v>
      </c>
      <c r="QH12" s="10">
        <v>30.89999961853027</v>
      </c>
      <c r="QI12" s="10">
        <v>396.66000366210938</v>
      </c>
      <c r="QJ12" s="10">
        <v>52.590000152587891</v>
      </c>
      <c r="QK12" s="10">
        <v>37.069999694824219</v>
      </c>
      <c r="QL12" s="10">
        <v>47.040000915527337</v>
      </c>
      <c r="QM12" s="10">
        <v>39.729999542236328</v>
      </c>
      <c r="QN12" s="10">
        <v>416.010009765625</v>
      </c>
      <c r="QO12" s="10">
        <v>221.0299987792969</v>
      </c>
      <c r="QP12" s="10">
        <v>49.720001220703118</v>
      </c>
      <c r="QQ12" s="10">
        <v>168</v>
      </c>
      <c r="QR12" s="10">
        <v>491.17001342773438</v>
      </c>
      <c r="QS12" s="10">
        <v>476.239990234375</v>
      </c>
      <c r="QT12" s="10">
        <v>134.57000732421881</v>
      </c>
      <c r="QU12" s="10">
        <v>133.58000183105469</v>
      </c>
      <c r="QV12" s="10">
        <v>43.080001831054688</v>
      </c>
      <c r="QW12" s="10">
        <v>205.1499938964844</v>
      </c>
      <c r="QX12" s="10">
        <v>242.8399963378906</v>
      </c>
      <c r="QY12" s="10">
        <v>34.860000610351563</v>
      </c>
      <c r="QZ12" s="10">
        <v>351.10000610351563</v>
      </c>
      <c r="RA12" s="10">
        <v>20.45999908447266</v>
      </c>
      <c r="RB12" s="10">
        <v>10.789999961853029</v>
      </c>
      <c r="RC12" s="10">
        <v>30.989999771118161</v>
      </c>
      <c r="RD12" s="10">
        <v>248.11000061035159</v>
      </c>
      <c r="RE12" s="10">
        <v>222.91999816894531</v>
      </c>
      <c r="RF12" s="10">
        <v>62.430000305175781</v>
      </c>
      <c r="RG12" s="10">
        <v>113.4899978637695</v>
      </c>
      <c r="RH12" s="10">
        <v>23.430000305175781</v>
      </c>
      <c r="RI12" s="10">
        <v>53.856666564941413</v>
      </c>
      <c r="RJ12" s="10">
        <v>81.639999389648438</v>
      </c>
      <c r="RK12" s="10">
        <v>11.560000419616699</v>
      </c>
      <c r="RL12" s="10">
        <v>157.00999450683591</v>
      </c>
      <c r="RM12" s="10">
        <v>281.01998901367188</v>
      </c>
      <c r="RN12" s="10">
        <v>83.110000610351563</v>
      </c>
      <c r="RO12" s="10">
        <v>41.650001525878913</v>
      </c>
      <c r="RP12" s="10">
        <v>82.639999389648438</v>
      </c>
      <c r="RQ12" s="10">
        <v>407.69000244140619</v>
      </c>
      <c r="RR12" s="10">
        <v>45.959999084472663</v>
      </c>
      <c r="RS12" s="10">
        <v>32.849998474121087</v>
      </c>
      <c r="RT12" s="10">
        <v>32.75</v>
      </c>
      <c r="RU12" s="10">
        <v>34.689998626708977</v>
      </c>
      <c r="RV12" s="10">
        <v>207.8699951171875</v>
      </c>
      <c r="RW12" s="10">
        <v>710.780029296875</v>
      </c>
      <c r="RX12" s="10">
        <v>101.63999938964839</v>
      </c>
      <c r="RY12" s="10">
        <v>56.509998321533203</v>
      </c>
      <c r="RZ12" s="10">
        <v>102.5800018310547</v>
      </c>
      <c r="SA12" s="10">
        <v>129.63999938964841</v>
      </c>
      <c r="SB12" s="10">
        <v>275.95001220703119</v>
      </c>
      <c r="SC12" s="10">
        <v>119.4499969482422</v>
      </c>
      <c r="SD12" s="10">
        <v>192.52000427246091</v>
      </c>
    </row>
    <row r="13" spans="1:498" x14ac:dyDescent="0.25">
      <c r="A13" s="13">
        <v>45200</v>
      </c>
      <c r="B13" s="10">
        <v>90.220001220703125</v>
      </c>
      <c r="C13" s="10">
        <v>66.050003051757813</v>
      </c>
      <c r="D13" s="10">
        <v>95.730003356933594</v>
      </c>
      <c r="E13" s="10">
        <v>148.25</v>
      </c>
      <c r="F13" s="10">
        <v>308.260009765625</v>
      </c>
      <c r="G13" s="10">
        <v>521.1300048828125</v>
      </c>
      <c r="H13" s="10">
        <v>103.26999664306641</v>
      </c>
      <c r="I13" s="10">
        <v>14.159999847412109</v>
      </c>
      <c r="J13" s="10">
        <v>76.470001220703125</v>
      </c>
      <c r="K13" s="10">
        <v>110.90000152587891</v>
      </c>
      <c r="L13" s="10">
        <v>279.07998657226563</v>
      </c>
      <c r="M13" s="10">
        <v>136.55999755859381</v>
      </c>
      <c r="N13" s="10">
        <v>106.8300018310547</v>
      </c>
      <c r="O13" s="10">
        <v>162.4100036621094</v>
      </c>
      <c r="P13" s="10">
        <v>98.180000305175781</v>
      </c>
      <c r="Q13" s="10">
        <v>299.760009765625</v>
      </c>
      <c r="R13" s="10">
        <v>103.129997253418</v>
      </c>
      <c r="S13" s="10">
        <v>46.240001678466797</v>
      </c>
      <c r="T13" s="10">
        <v>110.9100036621094</v>
      </c>
      <c r="U13" s="10">
        <v>134.16999816894531</v>
      </c>
      <c r="V13" s="10">
        <v>135.16999816894531</v>
      </c>
      <c r="W13" s="10">
        <v>41.580001831054688</v>
      </c>
      <c r="X13" s="10">
        <v>129.46000671386719</v>
      </c>
      <c r="Y13" s="10">
        <v>9.0600004196166992</v>
      </c>
      <c r="Z13" s="10">
        <v>71.129997253417969</v>
      </c>
      <c r="AA13" s="10">
        <v>12.75</v>
      </c>
      <c r="AB13" s="10">
        <v>71.839996337890625</v>
      </c>
      <c r="AC13" s="10">
        <v>149.47999572753909</v>
      </c>
      <c r="AD13" s="10">
        <v>60.049999237060547</v>
      </c>
      <c r="AE13" s="10">
        <v>161.71000671386719</v>
      </c>
      <c r="AF13" s="10">
        <v>119.75</v>
      </c>
      <c r="AG13" s="10">
        <v>325.8599853515625</v>
      </c>
      <c r="AH13" s="10">
        <v>147.41999816894531</v>
      </c>
      <c r="AI13" s="10">
        <v>266.30999755859381</v>
      </c>
      <c r="AJ13" s="10">
        <v>82.650001525878906</v>
      </c>
      <c r="AK13" s="10">
        <v>175.42999267578119</v>
      </c>
      <c r="AL13" s="10">
        <v>297.39999389648438</v>
      </c>
      <c r="AM13" s="10">
        <v>321.3599853515625</v>
      </c>
      <c r="AN13" s="10">
        <v>39.529998779296882</v>
      </c>
      <c r="AO13" s="10">
        <v>173.75</v>
      </c>
      <c r="AP13" s="10">
        <v>139.50999450683591</v>
      </c>
      <c r="AQ13" s="10">
        <v>97.25</v>
      </c>
      <c r="AR13" s="10">
        <v>79.370002746582031</v>
      </c>
      <c r="AS13" s="10">
        <v>74.199996948242188</v>
      </c>
      <c r="AT13" s="10">
        <v>187.80999755859381</v>
      </c>
      <c r="AU13" s="10">
        <v>224.9100036621094</v>
      </c>
      <c r="AV13" s="10">
        <v>144.4100036621094</v>
      </c>
      <c r="AW13" s="10">
        <v>14.670000076293951</v>
      </c>
      <c r="AX13" s="10">
        <v>102.7600021362305</v>
      </c>
      <c r="AY13" s="10">
        <v>208.99000549316409</v>
      </c>
      <c r="AZ13" s="10">
        <v>239.3699951171875</v>
      </c>
      <c r="BA13" s="10">
        <v>2522.929931640625</v>
      </c>
      <c r="BB13" s="10">
        <v>168.0899963378906</v>
      </c>
      <c r="BC13" s="10">
        <v>181.52000427246091</v>
      </c>
      <c r="BD13" s="10">
        <v>196.1499938964844</v>
      </c>
      <c r="BE13" s="10">
        <v>34.560001373291023</v>
      </c>
      <c r="BF13" s="10">
        <v>49.259998321533203</v>
      </c>
      <c r="BG13" s="10">
        <v>26.70000076293945</v>
      </c>
      <c r="BH13" s="10">
        <v>42.069999694824219</v>
      </c>
      <c r="BI13" s="10">
        <v>33.569999694824219</v>
      </c>
      <c r="BJ13" s="10">
        <v>37.349998474121087</v>
      </c>
      <c r="BK13" s="10">
        <v>257.760009765625</v>
      </c>
      <c r="BL13" s="10">
        <v>348.07998657226563</v>
      </c>
      <c r="BM13" s="10">
        <v>69.089996337890625</v>
      </c>
      <c r="BN13" s="10">
        <v>351.54998779296881</v>
      </c>
      <c r="BO13" s="10">
        <v>67.150001525878906</v>
      </c>
      <c r="BP13" s="10">
        <v>252.86000061035159</v>
      </c>
      <c r="BQ13" s="10">
        <v>643.03997802734375</v>
      </c>
      <c r="BR13" s="10">
        <v>107.1600036621094</v>
      </c>
      <c r="BS13" s="10">
        <v>187.83000183105469</v>
      </c>
      <c r="BT13" s="10">
        <v>3093.760009765625</v>
      </c>
      <c r="BU13" s="10">
        <v>39.860000610351563</v>
      </c>
      <c r="BV13" s="10">
        <v>57.459999084472663</v>
      </c>
      <c r="BW13" s="10">
        <v>52.810001373291023</v>
      </c>
      <c r="BX13" s="10">
        <v>57.849998474121087</v>
      </c>
      <c r="BY13" s="10">
        <v>834.95001220703125</v>
      </c>
      <c r="BZ13" s="10">
        <v>176.99000549316409</v>
      </c>
      <c r="CA13" s="10">
        <v>69.519996643066406</v>
      </c>
      <c r="CB13" s="10">
        <v>56.830001831054688</v>
      </c>
      <c r="CC13" s="10">
        <v>123</v>
      </c>
      <c r="CD13" s="10">
        <v>106.69000244140619</v>
      </c>
      <c r="CE13" s="10">
        <v>236.49000549316409</v>
      </c>
      <c r="CF13" s="10">
        <v>46.860000610351563</v>
      </c>
      <c r="CG13" s="10">
        <v>93.050003051757813</v>
      </c>
      <c r="CH13" s="10">
        <v>39.5</v>
      </c>
      <c r="CI13" s="10">
        <v>95.120002746582031</v>
      </c>
      <c r="CJ13" s="10">
        <v>86.379997253417969</v>
      </c>
      <c r="CK13" s="10">
        <v>69.739997863769531</v>
      </c>
      <c r="CL13" s="10">
        <v>13.64000034332275</v>
      </c>
      <c r="CM13" s="10">
        <v>54.560001373291023</v>
      </c>
      <c r="CN13" s="10">
        <v>44.580001831054688</v>
      </c>
      <c r="CO13" s="10">
        <v>271.72000122070313</v>
      </c>
      <c r="CP13" s="10">
        <v>156.80000305175781</v>
      </c>
      <c r="CQ13" s="10">
        <v>73.029998779296875</v>
      </c>
      <c r="CR13" s="10">
        <v>200.97999572753909</v>
      </c>
      <c r="CS13" s="10">
        <v>121.40000152587891</v>
      </c>
      <c r="CT13" s="10">
        <v>179.08000183105469</v>
      </c>
      <c r="CU13" s="10">
        <v>69.300003051757813</v>
      </c>
      <c r="CV13" s="10">
        <v>25.75</v>
      </c>
      <c r="CW13" s="10">
        <v>83.709999084472656</v>
      </c>
      <c r="CX13" s="10">
        <v>85.650001525878906</v>
      </c>
      <c r="CY13" s="10">
        <v>193.38999938964841</v>
      </c>
      <c r="CZ13" s="10">
        <v>53.549999237060547</v>
      </c>
      <c r="DA13" s="10">
        <v>438.5</v>
      </c>
      <c r="DB13" s="10">
        <v>166.53999328613281</v>
      </c>
      <c r="DC13" s="10">
        <v>1867.130004882812</v>
      </c>
      <c r="DD13" s="10">
        <v>206.3999938964844</v>
      </c>
      <c r="DE13" s="10">
        <v>91.650001525878906</v>
      </c>
      <c r="DF13" s="10">
        <v>287.54000854492188</v>
      </c>
      <c r="DG13" s="10">
        <v>100.05999755859381</v>
      </c>
      <c r="DH13" s="10">
        <v>484.8699951171875</v>
      </c>
      <c r="DI13" s="10">
        <v>54.389999389648438</v>
      </c>
      <c r="DJ13" s="10">
        <v>40.5</v>
      </c>
      <c r="DK13" s="10">
        <v>25.909999847412109</v>
      </c>
      <c r="DL13" s="10">
        <v>130.3399963378906</v>
      </c>
      <c r="DM13" s="10">
        <v>200.1499938964844</v>
      </c>
      <c r="DN13" s="10">
        <v>50.569999694824219</v>
      </c>
      <c r="DO13" s="10">
        <v>55.479999542236328</v>
      </c>
      <c r="DP13" s="10">
        <v>67.760002136230469</v>
      </c>
      <c r="DQ13" s="10">
        <v>70.760002136230469</v>
      </c>
      <c r="DR13" s="10">
        <v>44.490001678466797</v>
      </c>
      <c r="DS13" s="10">
        <v>40.25</v>
      </c>
      <c r="DT13" s="10">
        <v>26.79000091552734</v>
      </c>
      <c r="DU13" s="10">
        <v>117.09999847412109</v>
      </c>
      <c r="DV13" s="10">
        <v>81.620002746582031</v>
      </c>
      <c r="DW13" s="10">
        <v>248.63999938964841</v>
      </c>
      <c r="DX13" s="10">
        <v>104.73000335693359</v>
      </c>
      <c r="DY13" s="10">
        <v>77.974998474121094</v>
      </c>
      <c r="DZ13" s="10">
        <v>43.619998931884773</v>
      </c>
      <c r="EA13" s="10">
        <v>30.20999908447266</v>
      </c>
      <c r="EB13" s="10">
        <v>50.049999237060547</v>
      </c>
      <c r="EC13" s="10">
        <v>75.970001220703125</v>
      </c>
      <c r="ED13" s="10">
        <v>571.30999755859375</v>
      </c>
      <c r="EE13" s="10">
        <v>26.319999694824219</v>
      </c>
      <c r="EF13" s="10">
        <v>90.930000305175781</v>
      </c>
      <c r="EG13" s="10">
        <v>30.54000091552734</v>
      </c>
      <c r="EH13" s="10">
        <v>225.55000305175781</v>
      </c>
      <c r="EI13" s="10">
        <v>69.69000244140625</v>
      </c>
      <c r="EJ13" s="10">
        <v>213.74000549316409</v>
      </c>
      <c r="EK13" s="10">
        <v>142.4100036621094</v>
      </c>
      <c r="EL13" s="10">
        <v>95.099998474121094</v>
      </c>
      <c r="EM13" s="10">
        <v>67.930000305175781</v>
      </c>
      <c r="EN13" s="10">
        <v>517.54998779296875</v>
      </c>
      <c r="EO13" s="10">
        <v>373.83999633789063</v>
      </c>
      <c r="EP13" s="10">
        <v>36.450000762939453</v>
      </c>
      <c r="EQ13" s="10">
        <v>33.779998779296882</v>
      </c>
      <c r="ER13" s="10">
        <v>45.650001525878913</v>
      </c>
      <c r="ES13" s="10">
        <v>94.550003051757813</v>
      </c>
      <c r="ET13" s="10">
        <v>150.19999694824219</v>
      </c>
      <c r="EU13" s="10">
        <v>118.2200012207031</v>
      </c>
      <c r="EV13" s="10">
        <v>90.830001831054688</v>
      </c>
      <c r="EW13" s="10">
        <v>103.7799987792969</v>
      </c>
      <c r="EX13" s="10">
        <v>104.6600036621094</v>
      </c>
      <c r="EY13" s="10">
        <v>42.310001373291023</v>
      </c>
      <c r="EZ13" s="10">
        <v>380.54000854492188</v>
      </c>
      <c r="FA13" s="10">
        <v>137.67999267578119</v>
      </c>
      <c r="FB13" s="10">
        <v>51.299999237060547</v>
      </c>
      <c r="FC13" s="10">
        <v>106.1800003051758</v>
      </c>
      <c r="FD13" s="10">
        <v>95.489997863769531</v>
      </c>
      <c r="FE13" s="10">
        <v>85.44000244140625</v>
      </c>
      <c r="FF13" s="10">
        <v>73.319999694824219</v>
      </c>
      <c r="FG13" s="10">
        <v>75.480003356933594</v>
      </c>
      <c r="FH13" s="10">
        <v>210.24000549316409</v>
      </c>
      <c r="FI13" s="10">
        <v>43.549999237060547</v>
      </c>
      <c r="FJ13" s="10">
        <v>166.8999938964844</v>
      </c>
      <c r="FK13" s="10">
        <v>61.040000915527337</v>
      </c>
      <c r="FL13" s="10">
        <v>69.180000305175781</v>
      </c>
      <c r="FM13" s="10">
        <v>120.15000152587891</v>
      </c>
      <c r="FN13" s="10">
        <v>440.19000244140619</v>
      </c>
      <c r="FO13" s="10">
        <v>538.28997802734375</v>
      </c>
      <c r="FP13" s="10">
        <v>95.709999084472656</v>
      </c>
      <c r="FQ13" s="10">
        <v>116.8399963378906</v>
      </c>
      <c r="FR13" s="10">
        <v>88.870002746582031</v>
      </c>
      <c r="FS13" s="10">
        <v>123.6600036621094</v>
      </c>
      <c r="FT13" s="10">
        <v>251.8399963378906</v>
      </c>
      <c r="FU13" s="10">
        <v>39.090000152587891</v>
      </c>
      <c r="FV13" s="10">
        <v>178.92999267578119</v>
      </c>
      <c r="FW13" s="10">
        <v>712.67999267578125</v>
      </c>
      <c r="FX13" s="10">
        <v>57.869998931884773</v>
      </c>
      <c r="FY13" s="10">
        <v>208.8500061035156</v>
      </c>
      <c r="FZ13" s="10">
        <v>143.3999938964844</v>
      </c>
      <c r="GA13" s="10">
        <v>64.650001525878906</v>
      </c>
      <c r="GB13" s="10">
        <v>375.6199951171875</v>
      </c>
      <c r="GC13" s="10">
        <v>48.099998474121087</v>
      </c>
      <c r="GD13" s="10">
        <v>55.729999542236328</v>
      </c>
      <c r="GE13" s="10">
        <v>36.610000610351563</v>
      </c>
      <c r="GF13" s="10">
        <v>102.0500030517578</v>
      </c>
      <c r="GG13" s="10">
        <v>114.73000335693359</v>
      </c>
      <c r="GH13" s="10">
        <v>119.26999664306641</v>
      </c>
      <c r="GI13" s="10">
        <v>115.629997253418</v>
      </c>
      <c r="GJ13" s="10">
        <v>161.96000671386719</v>
      </c>
      <c r="GK13" s="10">
        <v>436.07000732421881</v>
      </c>
      <c r="GL13" s="10">
        <v>863.59002685546875</v>
      </c>
      <c r="GM13" s="10">
        <v>54.860000610351563</v>
      </c>
      <c r="GN13" s="10">
        <v>88.529998779296875</v>
      </c>
      <c r="GO13" s="10">
        <v>265.1099853515625</v>
      </c>
      <c r="GP13" s="10">
        <v>54.240001678466797</v>
      </c>
      <c r="GQ13" s="10">
        <v>24.5</v>
      </c>
      <c r="GR13" s="10">
        <v>156.3399963378906</v>
      </c>
      <c r="GS13" s="10">
        <v>32.599998474121087</v>
      </c>
      <c r="GT13" s="10">
        <v>112.84999847412109</v>
      </c>
      <c r="GU13" s="10">
        <v>255.8800048828125</v>
      </c>
      <c r="GV13" s="10">
        <v>65.25</v>
      </c>
      <c r="GW13" s="10">
        <v>12.310000419616699</v>
      </c>
      <c r="GX13" s="10">
        <v>58.630001068115227</v>
      </c>
      <c r="GY13" s="10">
        <v>73.699996948242188</v>
      </c>
      <c r="GZ13" s="10">
        <v>30.85000038146973</v>
      </c>
      <c r="HA13" s="10">
        <v>28.569999694824219</v>
      </c>
      <c r="HB13" s="10">
        <v>24.20999908447266</v>
      </c>
      <c r="HC13" s="10">
        <v>36.639999389648438</v>
      </c>
      <c r="HD13" s="10">
        <v>103.5100021362305</v>
      </c>
      <c r="HE13" s="10">
        <v>346</v>
      </c>
      <c r="HF13" s="10">
        <v>67.839996337890625</v>
      </c>
      <c r="HG13" s="10">
        <v>17.530000686645511</v>
      </c>
      <c r="HH13" s="10">
        <v>106.09999847412109</v>
      </c>
      <c r="HI13" s="10">
        <v>222.92999267578119</v>
      </c>
      <c r="HJ13" s="10">
        <v>108.7900009155273</v>
      </c>
      <c r="HK13" s="10">
        <v>62.580001831054688</v>
      </c>
      <c r="HL13" s="10">
        <v>32.470001220703118</v>
      </c>
      <c r="HM13" s="10">
        <v>145.17999267578119</v>
      </c>
      <c r="HN13" s="10">
        <v>74.099998474121094</v>
      </c>
      <c r="HO13" s="10">
        <v>115.9100036621094</v>
      </c>
      <c r="HP13" s="10">
        <v>108.5100021362305</v>
      </c>
      <c r="HQ13" s="10">
        <v>318.5</v>
      </c>
      <c r="HR13" s="10">
        <v>39.770000457763672</v>
      </c>
      <c r="HS13" s="10">
        <v>70.830001831054688</v>
      </c>
      <c r="HT13" s="10">
        <v>64.279998779296875</v>
      </c>
      <c r="HU13" s="10">
        <v>247.21000671386719</v>
      </c>
      <c r="HV13" s="10">
        <v>17.809999465942379</v>
      </c>
      <c r="HW13" s="10">
        <v>73.300003051757813</v>
      </c>
      <c r="HX13" s="10">
        <v>199.00999450683591</v>
      </c>
      <c r="HY13" s="10">
        <v>149.1199951171875</v>
      </c>
      <c r="HZ13" s="10">
        <v>17.440000534057621</v>
      </c>
      <c r="IA13" s="10">
        <v>149.2200012207031</v>
      </c>
      <c r="IB13" s="10">
        <v>68.870002746582031</v>
      </c>
      <c r="IC13" s="10">
        <v>299.82998657226563</v>
      </c>
      <c r="ID13" s="10">
        <v>182.61000061035159</v>
      </c>
      <c r="IE13" s="10">
        <v>37.540000915527337</v>
      </c>
      <c r="IF13" s="10">
        <v>15.920000076293951</v>
      </c>
      <c r="IG13" s="10">
        <v>45.419998168945313</v>
      </c>
      <c r="IH13" s="10">
        <v>25.670000076293949</v>
      </c>
      <c r="II13" s="10">
        <v>309.260009765625</v>
      </c>
      <c r="IJ13" s="10">
        <v>491.739990234375</v>
      </c>
      <c r="IK13" s="10">
        <v>10.02999973297119</v>
      </c>
      <c r="IL13" s="10">
        <v>202.00999450683591</v>
      </c>
      <c r="IM13" s="10">
        <v>140.80000305175781</v>
      </c>
      <c r="IN13" s="10">
        <v>206.7799987792969</v>
      </c>
      <c r="IO13" s="10">
        <v>430.95001220703119</v>
      </c>
      <c r="IP13" s="10">
        <v>230.08000183105469</v>
      </c>
      <c r="IQ13" s="10">
        <v>136.44000244140619</v>
      </c>
      <c r="IR13" s="10">
        <v>58.060001373291023</v>
      </c>
      <c r="IS13" s="10">
        <v>63.599998474121087</v>
      </c>
      <c r="IT13" s="10">
        <v>165.03999328613281</v>
      </c>
      <c r="IU13" s="10">
        <v>35.459999084472663</v>
      </c>
      <c r="IV13" s="10">
        <v>109.2200012207031</v>
      </c>
      <c r="IW13" s="10">
        <v>65.970001220703125</v>
      </c>
      <c r="IX13" s="10">
        <v>35.470001220703118</v>
      </c>
      <c r="IY13" s="10">
        <v>28.64999961853027</v>
      </c>
      <c r="IZ13" s="10">
        <v>517.79998779296875</v>
      </c>
      <c r="JA13" s="10">
        <v>294.98001098632813</v>
      </c>
      <c r="JB13" s="10">
        <v>14.210000038146971</v>
      </c>
      <c r="JC13" s="10">
        <v>31.29000091552734</v>
      </c>
      <c r="JD13" s="10">
        <v>193.8800048828125</v>
      </c>
      <c r="JE13" s="10">
        <v>58.669998168945313</v>
      </c>
      <c r="JF13" s="10">
        <v>187.41999816894531</v>
      </c>
      <c r="JG13" s="10">
        <v>128.8699951171875</v>
      </c>
      <c r="JH13" s="10">
        <v>149.8699951171875</v>
      </c>
      <c r="JI13" s="10">
        <v>134.36000061035159</v>
      </c>
      <c r="JJ13" s="10">
        <v>155.1499938964844</v>
      </c>
      <c r="JK13" s="10">
        <v>52.380001068115227</v>
      </c>
      <c r="JL13" s="10">
        <v>143.77000427246091</v>
      </c>
      <c r="JM13" s="10">
        <v>28.04999923706055</v>
      </c>
      <c r="JN13" s="10">
        <v>52.5</v>
      </c>
      <c r="JO13" s="10">
        <v>31.20999908447266</v>
      </c>
      <c r="JP13" s="10">
        <v>10.44999980926514</v>
      </c>
      <c r="JQ13" s="10">
        <v>131.69999694824219</v>
      </c>
      <c r="JR13" s="10">
        <v>119.0100021362305</v>
      </c>
      <c r="JS13" s="10">
        <v>17.10000038146973</v>
      </c>
      <c r="JT13" s="10">
        <v>16.159999847412109</v>
      </c>
      <c r="JU13" s="10">
        <v>460.6300048828125</v>
      </c>
      <c r="JV13" s="10">
        <v>33.090000152587891</v>
      </c>
      <c r="JW13" s="10">
        <v>44.029998779296882</v>
      </c>
      <c r="JX13" s="10">
        <v>171.55999755859381</v>
      </c>
      <c r="JY13" s="10">
        <v>199.55999755859381</v>
      </c>
      <c r="JZ13" s="10">
        <v>630.8800048828125</v>
      </c>
      <c r="KA13" s="10">
        <v>92.230003356933594</v>
      </c>
      <c r="KB13" s="10">
        <v>45.700000762939453</v>
      </c>
      <c r="KC13" s="10">
        <v>93.199996948242188</v>
      </c>
      <c r="KD13" s="10">
        <v>111.15000152587891</v>
      </c>
      <c r="KE13" s="10">
        <v>370.20999145507813</v>
      </c>
      <c r="KF13" s="10">
        <v>84.410003662109375</v>
      </c>
      <c r="KG13" s="10">
        <v>407.82000732421881</v>
      </c>
      <c r="KH13" s="10">
        <v>62.299999237060547</v>
      </c>
      <c r="KI13" s="10">
        <v>205.74000549316409</v>
      </c>
      <c r="KJ13" s="10">
        <v>382.8599853515625</v>
      </c>
      <c r="KK13" s="10">
        <v>93.449996948242188</v>
      </c>
      <c r="KL13" s="10">
        <v>122.09999847412109</v>
      </c>
      <c r="KM13" s="10">
        <v>25.590000152587891</v>
      </c>
      <c r="KN13" s="10">
        <v>150.02000427246091</v>
      </c>
      <c r="KO13" s="10">
        <v>209.94999694824219</v>
      </c>
      <c r="KP13" s="10">
        <v>193.75</v>
      </c>
      <c r="KQ13" s="10">
        <v>188.77000427246091</v>
      </c>
      <c r="KR13" s="10">
        <v>405.70001220703119</v>
      </c>
      <c r="KS13" s="10">
        <v>52.580001831054688</v>
      </c>
      <c r="KT13" s="10">
        <v>395.85000610351563</v>
      </c>
      <c r="KU13" s="10">
        <v>38.110000610351563</v>
      </c>
      <c r="KV13" s="10">
        <v>74.720001220703125</v>
      </c>
      <c r="KW13" s="10">
        <v>257.75</v>
      </c>
      <c r="KX13" s="10">
        <v>437.42001342773438</v>
      </c>
      <c r="KY13" s="10">
        <v>77.769996643066406</v>
      </c>
      <c r="KZ13" s="10">
        <v>102.5500030517578</v>
      </c>
      <c r="LA13" s="10">
        <v>306.82000732421881</v>
      </c>
      <c r="LB13" s="10">
        <v>61.689998626708977</v>
      </c>
      <c r="LC13" s="10">
        <v>1087.329956054688</v>
      </c>
      <c r="LD13" s="10">
        <v>36.790000915527337</v>
      </c>
      <c r="LE13" s="10">
        <v>78.370002746582031</v>
      </c>
      <c r="LF13" s="10">
        <v>67.959999084472656</v>
      </c>
      <c r="LG13" s="10">
        <v>321.79998779296881</v>
      </c>
      <c r="LH13" s="10">
        <v>127.3000030517578</v>
      </c>
      <c r="LI13" s="10">
        <v>103.30999755859381</v>
      </c>
      <c r="LJ13" s="10">
        <v>84.44000244140625</v>
      </c>
      <c r="LK13" s="10">
        <v>332.45999145507813</v>
      </c>
      <c r="LL13" s="10">
        <v>62.610000610351563</v>
      </c>
      <c r="LM13" s="10">
        <v>68.489997863769531</v>
      </c>
      <c r="LN13" s="10">
        <v>459.33999633789063</v>
      </c>
      <c r="LO13" s="10">
        <v>52.540000915527337</v>
      </c>
      <c r="LP13" s="10">
        <v>316.22000122070313</v>
      </c>
      <c r="LQ13" s="10">
        <v>80.410003662109375</v>
      </c>
      <c r="LR13" s="10">
        <v>35.020000457763672</v>
      </c>
      <c r="LS13" s="10">
        <v>272.92001342773438</v>
      </c>
      <c r="LT13" s="10">
        <v>506.989990234375</v>
      </c>
      <c r="LU13" s="10">
        <v>48.419998168945313</v>
      </c>
      <c r="LV13" s="10">
        <v>75.800003051757813</v>
      </c>
      <c r="LW13" s="10">
        <v>380.32998657226563</v>
      </c>
      <c r="LX13" s="10">
        <v>35.540000915527337</v>
      </c>
      <c r="LY13" s="10">
        <v>20</v>
      </c>
      <c r="LZ13" s="10">
        <v>20.79999923706055</v>
      </c>
      <c r="MA13" s="10">
        <v>52.150001525878913</v>
      </c>
      <c r="MB13" s="10">
        <v>94.55999755859375</v>
      </c>
      <c r="MC13" s="10">
        <v>23.180000305175781</v>
      </c>
      <c r="MD13" s="10">
        <v>221.3699951171875</v>
      </c>
      <c r="ME13" s="10">
        <v>191.5</v>
      </c>
      <c r="MF13" s="10">
        <v>67.839996337890625</v>
      </c>
      <c r="MG13" s="10">
        <v>442.22000122070313</v>
      </c>
      <c r="MH13" s="10">
        <v>16.440000534057621</v>
      </c>
      <c r="MI13" s="10">
        <v>37.569999694824219</v>
      </c>
      <c r="MJ13" s="10">
        <v>154.7799987792969</v>
      </c>
      <c r="MK13" s="10">
        <v>447.82000732421881</v>
      </c>
      <c r="ML13" s="10">
        <v>5960.9501953125</v>
      </c>
      <c r="MM13" s="10">
        <v>200.19000244140619</v>
      </c>
      <c r="MN13" s="10">
        <v>898.6199951171875</v>
      </c>
      <c r="MO13" s="10">
        <v>62.299999237060547</v>
      </c>
      <c r="MP13" s="10">
        <v>403.19000244140619</v>
      </c>
      <c r="MQ13" s="10">
        <v>73.360000610351563</v>
      </c>
      <c r="MR13" s="10">
        <v>93.370002746582031</v>
      </c>
      <c r="MS13" s="10">
        <v>61.849998474121087</v>
      </c>
      <c r="MT13" s="10">
        <v>106.7099990844727</v>
      </c>
      <c r="MU13" s="10">
        <v>79.5</v>
      </c>
      <c r="MV13" s="10">
        <v>84.760002136230469</v>
      </c>
      <c r="MW13" s="10">
        <v>153.2799987792969</v>
      </c>
      <c r="MX13" s="10">
        <v>236.77000427246091</v>
      </c>
      <c r="MY13" s="10">
        <v>12.590000152587891</v>
      </c>
      <c r="MZ13" s="10">
        <v>385.239990234375</v>
      </c>
      <c r="NA13" s="10">
        <v>113.7799987792969</v>
      </c>
      <c r="NB13" s="10">
        <v>260.04000854492188</v>
      </c>
      <c r="NC13" s="10">
        <v>58.560001373291023</v>
      </c>
      <c r="ND13" s="10">
        <v>63.560001373291023</v>
      </c>
      <c r="NE13" s="10">
        <v>169.16999816894531</v>
      </c>
      <c r="NF13" s="10">
        <v>33.939998626708977</v>
      </c>
      <c r="NG13" s="10">
        <v>15.22000026702881</v>
      </c>
      <c r="NH13" s="10">
        <v>91.410003662109375</v>
      </c>
      <c r="NI13" s="10">
        <v>119.01999664306641</v>
      </c>
      <c r="NJ13" s="10">
        <v>71.269996643066406</v>
      </c>
      <c r="NK13" s="10">
        <v>224.46000671386719</v>
      </c>
      <c r="NL13" s="10">
        <v>120.01999664306641</v>
      </c>
      <c r="NM13" s="10">
        <v>349</v>
      </c>
      <c r="NN13" s="10">
        <v>129.3699951171875</v>
      </c>
      <c r="NO13" s="10">
        <v>22.54999923706055</v>
      </c>
      <c r="NP13" s="10">
        <v>70.209999084472656</v>
      </c>
      <c r="NQ13" s="10">
        <v>138.9700012207031</v>
      </c>
      <c r="NR13" s="10">
        <v>109.5</v>
      </c>
      <c r="NS13" s="10">
        <v>93.379997253417969</v>
      </c>
      <c r="NT13" s="10">
        <v>54.689998626708977</v>
      </c>
      <c r="NU13" s="10">
        <v>140.8399963378906</v>
      </c>
      <c r="NV13" s="10">
        <v>260.739990234375</v>
      </c>
      <c r="NW13" s="10">
        <v>73.220001220703125</v>
      </c>
      <c r="NX13" s="10">
        <v>95.120002746582031</v>
      </c>
      <c r="NY13" s="10">
        <v>176.63999938964841</v>
      </c>
      <c r="NZ13" s="10">
        <v>111.09999847412109</v>
      </c>
      <c r="OA13" s="10">
        <v>120.9100036621094</v>
      </c>
      <c r="OB13" s="10">
        <v>115.94000244140619</v>
      </c>
      <c r="OC13" s="10">
        <v>98.089996337890625</v>
      </c>
      <c r="OD13" s="10">
        <v>71.339996337890625</v>
      </c>
      <c r="OE13" s="10">
        <v>48.990001678466797</v>
      </c>
      <c r="OF13" s="10">
        <v>58.069999694824219</v>
      </c>
      <c r="OG13" s="10">
        <v>16.520000457763668</v>
      </c>
      <c r="OH13" s="10">
        <v>141.1600036621094</v>
      </c>
      <c r="OI13" s="10">
        <v>145.75</v>
      </c>
      <c r="OJ13" s="10">
        <v>107.80999755859381</v>
      </c>
      <c r="OK13" s="10">
        <v>72.029998779296875</v>
      </c>
      <c r="OL13" s="10">
        <v>283.95001220703119</v>
      </c>
      <c r="OM13" s="10">
        <v>36.619998931884773</v>
      </c>
      <c r="ON13" s="10">
        <v>483.8800048828125</v>
      </c>
      <c r="OO13" s="10">
        <v>114.4700012207031</v>
      </c>
      <c r="OP13" s="10">
        <v>91.699996948242188</v>
      </c>
      <c r="OQ13" s="10">
        <v>366.72000122070313</v>
      </c>
      <c r="OR13" s="10">
        <v>203.71000671386719</v>
      </c>
      <c r="OS13" s="10">
        <v>198.24000549316409</v>
      </c>
      <c r="OT13" s="10">
        <v>57.939998626708977</v>
      </c>
      <c r="OU13" s="10">
        <v>66.19000244140625</v>
      </c>
      <c r="OV13" s="10">
        <v>65.269996643066406</v>
      </c>
      <c r="OW13" s="10">
        <v>555.22998046875</v>
      </c>
      <c r="OX13" s="10">
        <v>252.6499938964844</v>
      </c>
      <c r="OY13" s="10">
        <v>104.629997253418</v>
      </c>
      <c r="OZ13" s="10">
        <v>98.25</v>
      </c>
      <c r="PA13" s="10">
        <v>121.4599990844727</v>
      </c>
      <c r="PB13" s="10">
        <v>251.75999450683591</v>
      </c>
      <c r="PC13" s="10">
        <v>62.709999084472663</v>
      </c>
      <c r="PD13" s="10">
        <v>27.190000534057621</v>
      </c>
      <c r="PE13" s="10">
        <v>80.720001220703125</v>
      </c>
      <c r="PF13" s="10">
        <v>91.129997253417969</v>
      </c>
      <c r="PG13" s="10">
        <v>66.19000244140625</v>
      </c>
      <c r="PH13" s="10">
        <v>106.30999755859381</v>
      </c>
      <c r="PI13" s="10">
        <v>215.5</v>
      </c>
      <c r="PJ13" s="10">
        <v>273.83999633789063</v>
      </c>
      <c r="PK13" s="10">
        <v>288.8599853515625</v>
      </c>
      <c r="PL13" s="10">
        <v>463.82000732421881</v>
      </c>
      <c r="PM13" s="10">
        <v>65.180000305175781</v>
      </c>
      <c r="PN13" s="10">
        <v>139.25999450683591</v>
      </c>
      <c r="PO13" s="10">
        <v>104.5899963378906</v>
      </c>
      <c r="PP13" s="10">
        <v>139</v>
      </c>
      <c r="PQ13" s="10">
        <v>28.579999923706051</v>
      </c>
      <c r="PR13" s="10">
        <v>83.430000305175781</v>
      </c>
      <c r="PS13" s="10">
        <v>106.69000244140619</v>
      </c>
      <c r="PT13" s="10">
        <v>123.2200012207031</v>
      </c>
      <c r="PU13" s="10">
        <v>402.27999877929688</v>
      </c>
      <c r="PV13" s="10">
        <v>195.8999938964844</v>
      </c>
      <c r="PW13" s="10">
        <v>100.6699981689453</v>
      </c>
      <c r="PX13" s="10">
        <v>251.6000061035156</v>
      </c>
      <c r="PY13" s="10">
        <v>159.94999694824219</v>
      </c>
      <c r="PZ13" s="10">
        <v>77.290000915527344</v>
      </c>
      <c r="QA13" s="10">
        <v>495.79000854492188</v>
      </c>
      <c r="QB13" s="10">
        <v>88.680000305175781</v>
      </c>
      <c r="QC13" s="10">
        <v>203.5</v>
      </c>
      <c r="QD13" s="10">
        <v>198.1000061035156</v>
      </c>
      <c r="QE13" s="10">
        <v>824.3800048828125</v>
      </c>
      <c r="QF13" s="10">
        <v>162.27000427246091</v>
      </c>
      <c r="QG13" s="10">
        <v>52.840000152587891</v>
      </c>
      <c r="QH13" s="10">
        <v>27.629999160766602</v>
      </c>
      <c r="QI13" s="10">
        <v>382.3599853515625</v>
      </c>
      <c r="QJ13" s="10">
        <v>49.240001678466797</v>
      </c>
      <c r="QK13" s="10">
        <v>32.139999389648438</v>
      </c>
      <c r="QL13" s="10">
        <v>45.680000305175781</v>
      </c>
      <c r="QM13" s="10">
        <v>35.139999389648438</v>
      </c>
      <c r="QN13" s="10">
        <v>402.95001220703119</v>
      </c>
      <c r="QO13" s="10">
        <v>202.63999938964841</v>
      </c>
      <c r="QP13" s="10">
        <v>41.619998931884773</v>
      </c>
      <c r="QQ13" s="10">
        <v>155.08000183105469</v>
      </c>
      <c r="QR13" s="10">
        <v>437.3699951171875</v>
      </c>
      <c r="QS13" s="10">
        <v>514.57000732421875</v>
      </c>
      <c r="QT13" s="10">
        <v>126.25</v>
      </c>
      <c r="QU13" s="10">
        <v>138.0899963378906</v>
      </c>
      <c r="QV13" s="10">
        <v>41.340000152587891</v>
      </c>
      <c r="QW13" s="10">
        <v>202.3399963378906</v>
      </c>
      <c r="QX13" s="10">
        <v>236.3500061035156</v>
      </c>
      <c r="QY13" s="10">
        <v>31.760000228881839</v>
      </c>
      <c r="QZ13" s="10">
        <v>347.82998657226563</v>
      </c>
      <c r="RA13" s="10">
        <v>16.590000152587891</v>
      </c>
      <c r="RB13" s="10">
        <v>10.05000019073486</v>
      </c>
      <c r="RC13" s="10">
        <v>28.64999961853027</v>
      </c>
      <c r="RD13" s="10">
        <v>231.27000427246091</v>
      </c>
      <c r="RE13" s="10">
        <v>200.92999267578119</v>
      </c>
      <c r="RF13" s="10">
        <v>62.919998168945313</v>
      </c>
      <c r="RG13" s="10">
        <v>105.2399978637695</v>
      </c>
      <c r="RH13" s="10">
        <v>22.420000076293949</v>
      </c>
      <c r="RI13" s="10">
        <v>53.366668701171882</v>
      </c>
      <c r="RJ13" s="10">
        <v>81.669998168945313</v>
      </c>
      <c r="RK13" s="10">
        <v>10.510000228881839</v>
      </c>
      <c r="RL13" s="10">
        <v>151.21000671386719</v>
      </c>
      <c r="RM13" s="10">
        <v>270.51998901367188</v>
      </c>
      <c r="RN13" s="10">
        <v>77.029998779296875</v>
      </c>
      <c r="RO13" s="10">
        <v>39.610000610351563</v>
      </c>
      <c r="RP13" s="10">
        <v>81.730003356933594</v>
      </c>
      <c r="RQ13" s="10">
        <v>370.57998657226563</v>
      </c>
      <c r="RR13" s="10">
        <v>45.470001220703118</v>
      </c>
      <c r="RS13" s="10">
        <v>35.610000610351563</v>
      </c>
      <c r="RT13" s="10">
        <v>29.979999542236332</v>
      </c>
      <c r="RU13" s="10">
        <v>32.930000305175781</v>
      </c>
      <c r="RV13" s="10">
        <v>208.13999938964841</v>
      </c>
      <c r="RW13" s="10">
        <v>694.6199951171875</v>
      </c>
      <c r="RX13" s="10">
        <v>92.629997253417969</v>
      </c>
      <c r="RY13" s="10">
        <v>55.029998779296882</v>
      </c>
      <c r="RZ13" s="10">
        <v>91.819999694824219</v>
      </c>
      <c r="SA13" s="10">
        <v>125.05999755859381</v>
      </c>
      <c r="SB13" s="10">
        <v>233.6300048828125</v>
      </c>
      <c r="SC13" s="10">
        <v>111.4199981689453</v>
      </c>
      <c r="SD13" s="10">
        <v>172.72999572753909</v>
      </c>
    </row>
    <row r="14" spans="1:498" x14ac:dyDescent="0.25">
      <c r="A14" s="13">
        <v>45231</v>
      </c>
      <c r="B14" s="10">
        <v>90.55999755859375</v>
      </c>
      <c r="C14" s="10">
        <v>70.80999755859375</v>
      </c>
      <c r="D14" s="10">
        <v>95.010002136230469</v>
      </c>
      <c r="E14" s="10">
        <v>142.4700012207031</v>
      </c>
      <c r="F14" s="10">
        <v>300.6400146484375</v>
      </c>
      <c r="G14" s="10">
        <v>544.5</v>
      </c>
      <c r="H14" s="10">
        <v>108.0400009155273</v>
      </c>
      <c r="I14" s="10">
        <v>14.85000038146973</v>
      </c>
      <c r="J14" s="10">
        <v>79.050003051757813</v>
      </c>
      <c r="K14" s="10">
        <v>102.86000061035161</v>
      </c>
      <c r="L14" s="10">
        <v>283.41000366210938</v>
      </c>
      <c r="M14" s="10">
        <v>119.4700012207031</v>
      </c>
      <c r="N14" s="10">
        <v>103.88999938964839</v>
      </c>
      <c r="O14" s="10">
        <v>122.9599990844727</v>
      </c>
      <c r="P14" s="10">
        <v>92.900001525878906</v>
      </c>
      <c r="Q14" s="10">
        <v>183.21000671386719</v>
      </c>
      <c r="R14" s="10">
        <v>98.919998168945313</v>
      </c>
      <c r="S14" s="10">
        <v>49.5</v>
      </c>
      <c r="T14" s="10">
        <v>129.75</v>
      </c>
      <c r="U14" s="10">
        <v>126.4499969482422</v>
      </c>
      <c r="V14" s="10">
        <v>127.5699996948242</v>
      </c>
      <c r="W14" s="10">
        <v>39.900001525878913</v>
      </c>
      <c r="X14" s="10">
        <v>137</v>
      </c>
      <c r="Y14" s="10">
        <v>8.7100000381469727</v>
      </c>
      <c r="Z14" s="10">
        <v>76.839996337890625</v>
      </c>
      <c r="AA14" s="10">
        <v>11.14000034332275</v>
      </c>
      <c r="AB14" s="10">
        <v>76.480003356933594</v>
      </c>
      <c r="AC14" s="10">
        <v>146.44999694824219</v>
      </c>
      <c r="AD14" s="10">
        <v>62.049999237060547</v>
      </c>
      <c r="AE14" s="10">
        <v>178.3800048828125</v>
      </c>
      <c r="AF14" s="10">
        <v>118.8000030517578</v>
      </c>
      <c r="AG14" s="10">
        <v>317.52999877929688</v>
      </c>
      <c r="AH14" s="10">
        <v>142.3999938964844</v>
      </c>
      <c r="AI14" s="10">
        <v>260.83999633789063</v>
      </c>
      <c r="AJ14" s="10">
        <v>81.629997253417969</v>
      </c>
      <c r="AK14" s="10">
        <v>159.24000549316409</v>
      </c>
      <c r="AL14" s="10">
        <v>278.75</v>
      </c>
      <c r="AM14" s="10">
        <v>311.75</v>
      </c>
      <c r="AN14" s="10">
        <v>39.610000610351563</v>
      </c>
      <c r="AO14" s="10">
        <v>173.9700012207031</v>
      </c>
      <c r="AP14" s="10">
        <v>135.28999328613281</v>
      </c>
      <c r="AQ14" s="10">
        <v>86.080001831054688</v>
      </c>
      <c r="AR14" s="10">
        <v>90</v>
      </c>
      <c r="AS14" s="10">
        <v>71.370002746582031</v>
      </c>
      <c r="AT14" s="10">
        <v>210.8399963378906</v>
      </c>
      <c r="AU14" s="10">
        <v>237.30999755859381</v>
      </c>
      <c r="AV14" s="10">
        <v>166.47999572753909</v>
      </c>
      <c r="AW14" s="10">
        <v>15.579999923706049</v>
      </c>
      <c r="AX14" s="10">
        <v>108.6699981689453</v>
      </c>
      <c r="AY14" s="10">
        <v>198.92999267578119</v>
      </c>
      <c r="AZ14" s="10">
        <v>210.3699951171875</v>
      </c>
      <c r="BA14" s="10">
        <v>2490.719970703125</v>
      </c>
      <c r="BB14" s="10">
        <v>163.8699951171875</v>
      </c>
      <c r="BC14" s="10">
        <v>173.8699951171875</v>
      </c>
      <c r="BD14" s="10">
        <v>207.1499938964844</v>
      </c>
      <c r="BE14" s="10">
        <v>34.840000152587891</v>
      </c>
      <c r="BF14" s="10">
        <v>47.549999237060547</v>
      </c>
      <c r="BG14" s="10">
        <v>26.39999961853027</v>
      </c>
      <c r="BH14" s="10">
        <v>43.169998168945313</v>
      </c>
      <c r="BI14" s="10">
        <v>29.70999908447266</v>
      </c>
      <c r="BJ14" s="10">
        <v>32.790000915527337</v>
      </c>
      <c r="BK14" s="10">
        <v>253.7799987792969</v>
      </c>
      <c r="BL14" s="10">
        <v>343.75</v>
      </c>
      <c r="BM14" s="10">
        <v>65.970001220703125</v>
      </c>
      <c r="BN14" s="10">
        <v>277.5</v>
      </c>
      <c r="BO14" s="10">
        <v>52.830001831054688</v>
      </c>
      <c r="BP14" s="10">
        <v>239.6199951171875</v>
      </c>
      <c r="BQ14" s="10">
        <v>616.21002197265625</v>
      </c>
      <c r="BR14" s="10">
        <v>94.75</v>
      </c>
      <c r="BS14" s="10">
        <v>189.3800048828125</v>
      </c>
      <c r="BT14" s="10">
        <v>2766.22998046875</v>
      </c>
      <c r="BU14" s="10">
        <v>37.110000610351563</v>
      </c>
      <c r="BV14" s="10">
        <v>53.5</v>
      </c>
      <c r="BW14" s="10">
        <v>51.659999847412109</v>
      </c>
      <c r="BX14" s="10">
        <v>51.279998779296882</v>
      </c>
      <c r="BY14" s="10">
        <v>852.94000244140625</v>
      </c>
      <c r="BZ14" s="10">
        <v>170.5299987792969</v>
      </c>
      <c r="CA14" s="10">
        <v>69.300003051757813</v>
      </c>
      <c r="CB14" s="10">
        <v>56.169998168945313</v>
      </c>
      <c r="CC14" s="10">
        <v>117.4700012207031</v>
      </c>
      <c r="CD14" s="10">
        <v>106.05999755859381</v>
      </c>
      <c r="CE14" s="10">
        <v>244.8800048828125</v>
      </c>
      <c r="CF14" s="10">
        <v>39.470001220703118</v>
      </c>
      <c r="CG14" s="10">
        <v>84.680000305175781</v>
      </c>
      <c r="CH14" s="10">
        <v>40.669998168945313</v>
      </c>
      <c r="CI14" s="10">
        <v>100.26999664306641</v>
      </c>
      <c r="CJ14" s="10">
        <v>93.580001831054688</v>
      </c>
      <c r="CK14" s="10">
        <v>61.490001678466797</v>
      </c>
      <c r="CL14" s="10">
        <v>11.30000019073486</v>
      </c>
      <c r="CM14" s="10">
        <v>49.659999847412109</v>
      </c>
      <c r="CN14" s="10">
        <v>32.180000305175781</v>
      </c>
      <c r="CO14" s="10">
        <v>231.83000183105469</v>
      </c>
      <c r="CP14" s="10">
        <v>165.67999267578119</v>
      </c>
      <c r="CQ14" s="10">
        <v>70.19000244140625</v>
      </c>
      <c r="CR14" s="10">
        <v>199.1600036621094</v>
      </c>
      <c r="CS14" s="10">
        <v>113.01999664306641</v>
      </c>
      <c r="CT14" s="10">
        <v>187.22999572753909</v>
      </c>
      <c r="CU14" s="10">
        <v>69.319999694824219</v>
      </c>
      <c r="CV14" s="10">
        <v>27.319999694824219</v>
      </c>
      <c r="CW14" s="10">
        <v>79.260002136230469</v>
      </c>
      <c r="CX14" s="10">
        <v>81.459999084472656</v>
      </c>
      <c r="CY14" s="10">
        <v>167.52000427246091</v>
      </c>
      <c r="CZ14" s="10">
        <v>52.819999694824219</v>
      </c>
      <c r="DA14" s="10">
        <v>406.510009765625</v>
      </c>
      <c r="DB14" s="10">
        <v>143.97999572753909</v>
      </c>
      <c r="DC14" s="10">
        <v>1986.640014648438</v>
      </c>
      <c r="DD14" s="10">
        <v>220.30999755859381</v>
      </c>
      <c r="DE14" s="10">
        <v>90.269996643066406</v>
      </c>
      <c r="DF14" s="10">
        <v>309.41000366210938</v>
      </c>
      <c r="DG14" s="10">
        <v>101.9300003051758</v>
      </c>
      <c r="DH14" s="10">
        <v>509</v>
      </c>
      <c r="DI14" s="10">
        <v>52.189998626708977</v>
      </c>
      <c r="DJ14" s="10">
        <v>39.599998474121087</v>
      </c>
      <c r="DK14" s="10">
        <v>23.170000076293949</v>
      </c>
      <c r="DL14" s="10">
        <v>115.379997253418</v>
      </c>
      <c r="DM14" s="10">
        <v>210.91999816894531</v>
      </c>
      <c r="DN14" s="10">
        <v>54.729999542236328</v>
      </c>
      <c r="DO14" s="10">
        <v>56.439998626708977</v>
      </c>
      <c r="DP14" s="10">
        <v>64.959999084472656</v>
      </c>
      <c r="DQ14" s="10">
        <v>74.930000305175781</v>
      </c>
      <c r="DR14" s="10">
        <v>41.819999694824219</v>
      </c>
      <c r="DS14" s="10">
        <v>39.459999084472663</v>
      </c>
      <c r="DT14" s="10">
        <v>26.979999542236332</v>
      </c>
      <c r="DU14" s="10">
        <v>116.6699981689453</v>
      </c>
      <c r="DV14" s="10">
        <v>89.160003662109375</v>
      </c>
      <c r="DW14" s="10">
        <v>234.21000671386719</v>
      </c>
      <c r="DX14" s="10">
        <v>114.84999847412109</v>
      </c>
      <c r="DY14" s="10">
        <v>79.230003356933594</v>
      </c>
      <c r="DZ14" s="10">
        <v>43.819999694824219</v>
      </c>
      <c r="EA14" s="10">
        <v>26.659999847412109</v>
      </c>
      <c r="EB14" s="10">
        <v>47.740001678466797</v>
      </c>
      <c r="EC14" s="10">
        <v>73.669998168945313</v>
      </c>
      <c r="ED14" s="10">
        <v>556.79998779296875</v>
      </c>
      <c r="EE14" s="10">
        <v>27.54999923706055</v>
      </c>
      <c r="EF14" s="10">
        <v>92.430000305175781</v>
      </c>
      <c r="EG14" s="10">
        <v>29.569999694824219</v>
      </c>
      <c r="EH14" s="10">
        <v>218.05000305175781</v>
      </c>
      <c r="EI14" s="10">
        <v>68.730003356933594</v>
      </c>
      <c r="EJ14" s="10">
        <v>190</v>
      </c>
      <c r="EK14" s="10">
        <v>145.6600036621094</v>
      </c>
      <c r="EL14" s="10">
        <v>77.44000244140625</v>
      </c>
      <c r="EM14" s="10">
        <v>61.689998626708977</v>
      </c>
      <c r="EN14" s="10">
        <v>593.97998046875</v>
      </c>
      <c r="EO14" s="10">
        <v>370.47000122070313</v>
      </c>
      <c r="EP14" s="10">
        <v>31.110000610351559</v>
      </c>
      <c r="EQ14" s="10">
        <v>30.840000152587891</v>
      </c>
      <c r="ER14" s="10">
        <v>46.209999084472663</v>
      </c>
      <c r="ES14" s="10">
        <v>94.129997253417969</v>
      </c>
      <c r="ET14" s="10">
        <v>159.4100036621094</v>
      </c>
      <c r="EU14" s="10">
        <v>126.4700012207031</v>
      </c>
      <c r="EV14" s="10">
        <v>82.589996337890625</v>
      </c>
      <c r="EW14" s="10">
        <v>116.36000061035161</v>
      </c>
      <c r="EX14" s="10">
        <v>111.4899978637695</v>
      </c>
      <c r="EY14" s="10">
        <v>40.220001220703118</v>
      </c>
      <c r="EZ14" s="10">
        <v>344.1300048828125</v>
      </c>
      <c r="FA14" s="10">
        <v>129.08000183105469</v>
      </c>
      <c r="FB14" s="10">
        <v>48.209999084472663</v>
      </c>
      <c r="FC14" s="10">
        <v>109.3000030517578</v>
      </c>
      <c r="FD14" s="10">
        <v>96.610000610351563</v>
      </c>
      <c r="FE14" s="10">
        <v>89.540000915527344</v>
      </c>
      <c r="FF14" s="10">
        <v>66.919998168945313</v>
      </c>
      <c r="FG14" s="10">
        <v>74.470001220703125</v>
      </c>
      <c r="FH14" s="10">
        <v>214.83000183105469</v>
      </c>
      <c r="FI14" s="10">
        <v>38.709999084472663</v>
      </c>
      <c r="FJ14" s="10">
        <v>167.21000671386719</v>
      </c>
      <c r="FK14" s="10">
        <v>63.970001220703118</v>
      </c>
      <c r="FL14" s="10">
        <v>63.830001831054688</v>
      </c>
      <c r="FM14" s="10">
        <v>123.7799987792969</v>
      </c>
      <c r="FN14" s="10">
        <v>446.66000366210938</v>
      </c>
      <c r="FO14" s="10">
        <v>554.46002197265625</v>
      </c>
      <c r="FP14" s="10">
        <v>89.610000610351563</v>
      </c>
      <c r="FQ14" s="10">
        <v>76.730003356933594</v>
      </c>
      <c r="FR14" s="10">
        <v>97.739997863769531</v>
      </c>
      <c r="FS14" s="10">
        <v>124.2200012207031</v>
      </c>
      <c r="FT14" s="10">
        <v>216.6499938964844</v>
      </c>
      <c r="FU14" s="10">
        <v>42.720001220703118</v>
      </c>
      <c r="FV14" s="10">
        <v>167.69999694824219</v>
      </c>
      <c r="FW14" s="10">
        <v>739.1300048828125</v>
      </c>
      <c r="FX14" s="10">
        <v>53.189998626708977</v>
      </c>
      <c r="FY14" s="10">
        <v>207.8699951171875</v>
      </c>
      <c r="FZ14" s="10">
        <v>104.5100021362305</v>
      </c>
      <c r="GA14" s="10">
        <v>60.659999847412109</v>
      </c>
      <c r="GB14" s="10">
        <v>402.3900146484375</v>
      </c>
      <c r="GC14" s="10">
        <v>49.810001373291023</v>
      </c>
      <c r="GD14" s="10">
        <v>53.090000152587891</v>
      </c>
      <c r="GE14" s="10">
        <v>39.529998779296882</v>
      </c>
      <c r="GF14" s="10">
        <v>93.269996643066406</v>
      </c>
      <c r="GG14" s="10">
        <v>109.9199981689453</v>
      </c>
      <c r="GH14" s="10">
        <v>103.3300018310547</v>
      </c>
      <c r="GI14" s="10">
        <v>105.63999938964839</v>
      </c>
      <c r="GJ14" s="10">
        <v>151.91999816894531</v>
      </c>
      <c r="GK14" s="10">
        <v>436.57000732421881</v>
      </c>
      <c r="GL14" s="10">
        <v>870.989990234375</v>
      </c>
      <c r="GM14" s="10">
        <v>58.909999847412109</v>
      </c>
      <c r="GN14" s="10">
        <v>91.699996948242188</v>
      </c>
      <c r="GO14" s="10">
        <v>243.22999572753909</v>
      </c>
      <c r="GP14" s="10">
        <v>49.279998779296882</v>
      </c>
      <c r="GQ14" s="10">
        <v>23.64999961853027</v>
      </c>
      <c r="GR14" s="10">
        <v>142.8399963378906</v>
      </c>
      <c r="GS14" s="10">
        <v>36.049999237060547</v>
      </c>
      <c r="GT14" s="10">
        <v>114.9300003051758</v>
      </c>
      <c r="GU14" s="10">
        <v>228.6000061035156</v>
      </c>
      <c r="GV14" s="10">
        <v>50.009998321533203</v>
      </c>
      <c r="GW14" s="10">
        <v>9.9099998474121094</v>
      </c>
      <c r="GX14" s="10">
        <v>57.310001373291023</v>
      </c>
      <c r="GY14" s="10">
        <v>65.19000244140625</v>
      </c>
      <c r="GZ14" s="10">
        <v>30.45999908447266</v>
      </c>
      <c r="HA14" s="10">
        <v>27.89999961853027</v>
      </c>
      <c r="HB14" s="10">
        <v>22.54999923706055</v>
      </c>
      <c r="HC14" s="10">
        <v>33.709999084472663</v>
      </c>
      <c r="HD14" s="10">
        <v>113.5299987792969</v>
      </c>
      <c r="HE14" s="10">
        <v>331.92001342773438</v>
      </c>
      <c r="HF14" s="10">
        <v>68.279998779296875</v>
      </c>
      <c r="HG14" s="10">
        <v>16.629999160766602</v>
      </c>
      <c r="HH14" s="10">
        <v>96.129997253417969</v>
      </c>
      <c r="HI14" s="10">
        <v>242.69999694824219</v>
      </c>
      <c r="HJ14" s="10">
        <v>107.25</v>
      </c>
      <c r="HK14" s="10">
        <v>65.099998474121094</v>
      </c>
      <c r="HL14" s="10">
        <v>28</v>
      </c>
      <c r="HM14" s="10">
        <v>128.7799987792969</v>
      </c>
      <c r="HN14" s="10">
        <v>80.19000244140625</v>
      </c>
      <c r="HO14" s="10">
        <v>109.01999664306641</v>
      </c>
      <c r="HP14" s="10">
        <v>116.370002746582</v>
      </c>
      <c r="HQ14" s="10">
        <v>307.16000366210938</v>
      </c>
      <c r="HR14" s="10">
        <v>39.419998168945313</v>
      </c>
      <c r="HS14" s="10">
        <v>73.860000610351563</v>
      </c>
      <c r="HT14" s="10">
        <v>46.029998779296882</v>
      </c>
      <c r="HU14" s="10">
        <v>225.36000061035159</v>
      </c>
      <c r="HV14" s="10">
        <v>15.579999923706049</v>
      </c>
      <c r="HW14" s="10">
        <v>64.069999694824219</v>
      </c>
      <c r="HX14" s="10">
        <v>187.8500061035156</v>
      </c>
      <c r="HY14" s="10">
        <v>142.25</v>
      </c>
      <c r="HZ14" s="10">
        <v>15.52999973297119</v>
      </c>
      <c r="IA14" s="10">
        <v>151.1300048828125</v>
      </c>
      <c r="IB14" s="10">
        <v>66.69000244140625</v>
      </c>
      <c r="IC14" s="10">
        <v>286.6300048828125</v>
      </c>
      <c r="ID14" s="10">
        <v>183.99000549316409</v>
      </c>
      <c r="IE14" s="10">
        <v>32.439998626708977</v>
      </c>
      <c r="IF14" s="10">
        <v>15.60000038146973</v>
      </c>
      <c r="IG14" s="10">
        <v>44.720001220703118</v>
      </c>
      <c r="IH14" s="10">
        <v>26.479999542236332</v>
      </c>
      <c r="II14" s="10">
        <v>279.10000610351563</v>
      </c>
      <c r="IJ14" s="10">
        <v>489.3599853515625</v>
      </c>
      <c r="IK14" s="10">
        <v>9.630000114440918</v>
      </c>
      <c r="IL14" s="10">
        <v>220.99000549316409</v>
      </c>
      <c r="IM14" s="10">
        <v>145.3999938964844</v>
      </c>
      <c r="IN14" s="10">
        <v>188.36000061035159</v>
      </c>
      <c r="IO14" s="10">
        <v>395.35000610351563</v>
      </c>
      <c r="IP14" s="10">
        <v>224.53999328613281</v>
      </c>
      <c r="IQ14" s="10">
        <v>106.6600036621094</v>
      </c>
      <c r="IR14" s="10">
        <v>54.369998931884773</v>
      </c>
      <c r="IS14" s="10">
        <v>61.990001678466797</v>
      </c>
      <c r="IT14" s="10">
        <v>137.7200012207031</v>
      </c>
      <c r="IU14" s="10">
        <v>37.290000915527337</v>
      </c>
      <c r="IV14" s="10">
        <v>108.25</v>
      </c>
      <c r="IW14" s="10">
        <v>68.05999755859375</v>
      </c>
      <c r="IX14" s="10">
        <v>33.610000610351563</v>
      </c>
      <c r="IY14" s="10">
        <v>28.35000038146973</v>
      </c>
      <c r="IZ14" s="10">
        <v>489.17001342773438</v>
      </c>
      <c r="JA14" s="10">
        <v>270.45999145507813</v>
      </c>
      <c r="JB14" s="10">
        <v>13.069999694824221</v>
      </c>
      <c r="JC14" s="10">
        <v>29.75</v>
      </c>
      <c r="JD14" s="10">
        <v>180.00999450683591</v>
      </c>
      <c r="JE14" s="10">
        <v>59.659999847412109</v>
      </c>
      <c r="JF14" s="10">
        <v>172.94999694824219</v>
      </c>
      <c r="JG14" s="10">
        <v>124.8199996948242</v>
      </c>
      <c r="JH14" s="10">
        <v>140.3500061035156</v>
      </c>
      <c r="JI14" s="10">
        <v>130.1600036621094</v>
      </c>
      <c r="JJ14" s="10">
        <v>148.69000244140619</v>
      </c>
      <c r="JK14" s="10">
        <v>49.779998779296882</v>
      </c>
      <c r="JL14" s="10">
        <v>138.94000244140619</v>
      </c>
      <c r="JM14" s="10">
        <v>26.670000076293949</v>
      </c>
      <c r="JN14" s="10">
        <v>50.599998474121087</v>
      </c>
      <c r="JO14" s="10">
        <v>30.45999908447266</v>
      </c>
      <c r="JP14" s="10">
        <v>10.14999961853027</v>
      </c>
      <c r="JQ14" s="10">
        <v>120.8000030517578</v>
      </c>
      <c r="JR14" s="10">
        <v>119.4700012207031</v>
      </c>
      <c r="JS14" s="10">
        <v>18.10000038146973</v>
      </c>
      <c r="JT14" s="10">
        <v>16.35000038146973</v>
      </c>
      <c r="JU14" s="10">
        <v>476.52999877929688</v>
      </c>
      <c r="JV14" s="10">
        <v>32.200000762939453</v>
      </c>
      <c r="JW14" s="10">
        <v>45.389999389648438</v>
      </c>
      <c r="JX14" s="10">
        <v>178.7200012207031</v>
      </c>
      <c r="JY14" s="10">
        <v>203.94999694824219</v>
      </c>
      <c r="JZ14" s="10">
        <v>606.65997314453125</v>
      </c>
      <c r="KA14" s="10">
        <v>90.959999084472656</v>
      </c>
      <c r="KB14" s="10">
        <v>46.729999542236328</v>
      </c>
      <c r="KC14" s="10">
        <v>101.1800003051758</v>
      </c>
      <c r="KD14" s="10">
        <v>111.2200012207031</v>
      </c>
      <c r="KE14" s="10">
        <v>387.10000610351563</v>
      </c>
      <c r="KF14" s="10">
        <v>80.410003662109375</v>
      </c>
      <c r="KG14" s="10">
        <v>452.3800048828125</v>
      </c>
      <c r="KH14" s="10">
        <v>65.150001525878906</v>
      </c>
      <c r="KI14" s="10">
        <v>191.28999328613281</v>
      </c>
      <c r="KJ14" s="10">
        <v>395.29000854492188</v>
      </c>
      <c r="KK14" s="10">
        <v>89.889999389648438</v>
      </c>
      <c r="KL14" s="10">
        <v>112.129997253418</v>
      </c>
      <c r="KM14" s="10">
        <v>27.110000610351559</v>
      </c>
      <c r="KN14" s="10">
        <v>155.21000671386719</v>
      </c>
      <c r="KO14" s="10">
        <v>217.24000549316409</v>
      </c>
      <c r="KP14" s="10">
        <v>188.80000305175781</v>
      </c>
      <c r="KQ14" s="10">
        <v>190.05000305175781</v>
      </c>
      <c r="KR14" s="10">
        <v>439.17001342773438</v>
      </c>
      <c r="KS14" s="10">
        <v>52.709999084472663</v>
      </c>
      <c r="KT14" s="10">
        <v>377.82000732421881</v>
      </c>
      <c r="KU14" s="10">
        <v>29.29000091552734</v>
      </c>
      <c r="KV14" s="10">
        <v>64.110000610351563</v>
      </c>
      <c r="KW14" s="10">
        <v>261.97000122070313</v>
      </c>
      <c r="KX14" s="10">
        <v>459.58999633789063</v>
      </c>
      <c r="KY14" s="10">
        <v>70.849998474121094</v>
      </c>
      <c r="KZ14" s="10">
        <v>102.84999847412109</v>
      </c>
      <c r="LA14" s="10">
        <v>311.85000610351563</v>
      </c>
      <c r="LB14" s="10">
        <v>59.979999542236328</v>
      </c>
      <c r="LC14" s="10">
        <v>969.47998046875</v>
      </c>
      <c r="LD14" s="10">
        <v>34.970001220703118</v>
      </c>
      <c r="LE14" s="10">
        <v>71.040000915527344</v>
      </c>
      <c r="LF14" s="10">
        <v>69.400001525878906</v>
      </c>
      <c r="LG14" s="10">
        <v>346.07000732421881</v>
      </c>
      <c r="LH14" s="10">
        <v>117.5800018310547</v>
      </c>
      <c r="LI14" s="10">
        <v>76.199996948242188</v>
      </c>
      <c r="LJ14" s="10">
        <v>81.410003662109375</v>
      </c>
      <c r="LK14" s="10">
        <v>336.82998657226563</v>
      </c>
      <c r="LL14" s="10">
        <v>58.200000762939453</v>
      </c>
      <c r="LM14" s="10">
        <v>66.819999694824219</v>
      </c>
      <c r="LN14" s="10">
        <v>456.55999755859381</v>
      </c>
      <c r="LO14" s="10">
        <v>51.650001525878913</v>
      </c>
      <c r="LP14" s="10">
        <v>312.8800048828125</v>
      </c>
      <c r="LQ14" s="10">
        <v>70.949996948242188</v>
      </c>
      <c r="LR14" s="10">
        <v>32.290000915527337</v>
      </c>
      <c r="LS14" s="10">
        <v>280.5</v>
      </c>
      <c r="LT14" s="10">
        <v>471.85000610351563</v>
      </c>
      <c r="LU14" s="10">
        <v>48.709999084472663</v>
      </c>
      <c r="LV14" s="10">
        <v>73.349998474121094</v>
      </c>
      <c r="LW14" s="10">
        <v>420.19000244140619</v>
      </c>
      <c r="LX14" s="10">
        <v>37.270000457763672</v>
      </c>
      <c r="LY14" s="10">
        <v>20.780000686645511</v>
      </c>
      <c r="LZ14" s="10">
        <v>21.489999771118161</v>
      </c>
      <c r="MA14" s="10">
        <v>58.430000305175781</v>
      </c>
      <c r="MB14" s="10">
        <v>100.879997253418</v>
      </c>
      <c r="MC14" s="10">
        <v>25.39999961853027</v>
      </c>
      <c r="MD14" s="10">
        <v>211.52000427246091</v>
      </c>
      <c r="ME14" s="10">
        <v>190.19000244140619</v>
      </c>
      <c r="MF14" s="10">
        <v>66.879997253417969</v>
      </c>
      <c r="MG14" s="10">
        <v>468.260009765625</v>
      </c>
      <c r="MH14" s="10">
        <v>13.10000038146973</v>
      </c>
      <c r="MI14" s="10">
        <v>43.860000610351563</v>
      </c>
      <c r="MJ14" s="10">
        <v>147.99000549316409</v>
      </c>
      <c r="MK14" s="10">
        <v>423.25</v>
      </c>
      <c r="ML14" s="10">
        <v>5560.5498046875</v>
      </c>
      <c r="MM14" s="10">
        <v>172.52000427246091</v>
      </c>
      <c r="MN14" s="10">
        <v>945.65997314453125</v>
      </c>
      <c r="MO14" s="10">
        <v>61.360000610351563</v>
      </c>
      <c r="MP14" s="10">
        <v>390.64999389648438</v>
      </c>
      <c r="MQ14" s="10">
        <v>74.480003356933594</v>
      </c>
      <c r="MR14" s="10">
        <v>64.839996337890625</v>
      </c>
      <c r="MS14" s="10">
        <v>64.540000915527344</v>
      </c>
      <c r="MT14" s="10">
        <v>105.75</v>
      </c>
      <c r="MU14" s="10">
        <v>76.80999755859375</v>
      </c>
      <c r="MV14" s="10">
        <v>83.150001525878906</v>
      </c>
      <c r="MW14" s="10">
        <v>153.6000061035156</v>
      </c>
      <c r="MX14" s="10">
        <v>244.86000061035159</v>
      </c>
      <c r="MY14" s="10">
        <v>10.80000019073486</v>
      </c>
      <c r="MZ14" s="10">
        <v>370.47000122070313</v>
      </c>
      <c r="NA14" s="10">
        <v>108.86000061035161</v>
      </c>
      <c r="NB14" s="10">
        <v>150.69000244140619</v>
      </c>
      <c r="NC14" s="10">
        <v>51.659999847412109</v>
      </c>
      <c r="ND14" s="10">
        <v>58.919998168945313</v>
      </c>
      <c r="NE14" s="10">
        <v>164.8699951171875</v>
      </c>
      <c r="NF14" s="10">
        <v>30.510000228881839</v>
      </c>
      <c r="NG14" s="10">
        <v>16.670000076293949</v>
      </c>
      <c r="NH14" s="10">
        <v>89.010002136230469</v>
      </c>
      <c r="NI14" s="10">
        <v>116.0899963378906</v>
      </c>
      <c r="NJ14" s="10">
        <v>75.569999694824219</v>
      </c>
      <c r="NK14" s="10">
        <v>237.8699951171875</v>
      </c>
      <c r="NL14" s="10">
        <v>113.4599990844727</v>
      </c>
      <c r="NM14" s="10">
        <v>319.27999877929688</v>
      </c>
      <c r="NN14" s="10">
        <v>122.9700012207031</v>
      </c>
      <c r="NO14" s="10">
        <v>24.70000076293945</v>
      </c>
      <c r="NP14" s="10">
        <v>67.260002136230469</v>
      </c>
      <c r="NQ14" s="10">
        <v>159.61000061035159</v>
      </c>
      <c r="NR14" s="10">
        <v>101.59999847412109</v>
      </c>
      <c r="NS14" s="10">
        <v>91.319999694824219</v>
      </c>
      <c r="NT14" s="10">
        <v>62.380001068115227</v>
      </c>
      <c r="NU14" s="10">
        <v>138.88999938964841</v>
      </c>
      <c r="NV14" s="10">
        <v>242.5899963378906</v>
      </c>
      <c r="NW14" s="10">
        <v>77.230003356933594</v>
      </c>
      <c r="NX14" s="10">
        <v>87.819999694824219</v>
      </c>
      <c r="NY14" s="10">
        <v>159.6199951171875</v>
      </c>
      <c r="NZ14" s="10">
        <v>110.88999938964839</v>
      </c>
      <c r="OA14" s="10">
        <v>132.5299987792969</v>
      </c>
      <c r="OB14" s="10">
        <v>111.4499969482422</v>
      </c>
      <c r="OC14" s="10">
        <v>96.010002136230469</v>
      </c>
      <c r="OD14" s="10">
        <v>82.150001525878906</v>
      </c>
      <c r="OE14" s="10">
        <v>47.990001678466797</v>
      </c>
      <c r="OF14" s="10">
        <v>60.650001525878913</v>
      </c>
      <c r="OG14" s="10">
        <v>14.539999961853029</v>
      </c>
      <c r="OH14" s="10">
        <v>148.74000549316409</v>
      </c>
      <c r="OI14" s="10">
        <v>147.17999267578119</v>
      </c>
      <c r="OJ14" s="10">
        <v>82.540000915527344</v>
      </c>
      <c r="OK14" s="10">
        <v>73.980003356933594</v>
      </c>
      <c r="OL14" s="10">
        <v>266.98001098632813</v>
      </c>
      <c r="OM14" s="10">
        <v>37.220001220703118</v>
      </c>
      <c r="ON14" s="10">
        <v>487.14999389648438</v>
      </c>
      <c r="OO14" s="10">
        <v>115.98000335693359</v>
      </c>
      <c r="OP14" s="10">
        <v>85.269996643066406</v>
      </c>
      <c r="OQ14" s="10">
        <v>351.39999389648438</v>
      </c>
      <c r="OR14" s="10">
        <v>203.9100036621094</v>
      </c>
      <c r="OS14" s="10">
        <v>207.6600036621094</v>
      </c>
      <c r="OT14" s="10">
        <v>55.860000610351563</v>
      </c>
      <c r="OU14" s="10">
        <v>71.239997863769531</v>
      </c>
      <c r="OV14" s="10">
        <v>70.75</v>
      </c>
      <c r="OW14" s="10">
        <v>593.47998046875</v>
      </c>
      <c r="OX14" s="10">
        <v>238.9100036621094</v>
      </c>
      <c r="OY14" s="10">
        <v>112.4899978637695</v>
      </c>
      <c r="OZ14" s="10">
        <v>87.05999755859375</v>
      </c>
      <c r="PA14" s="10">
        <v>112.9899978637695</v>
      </c>
      <c r="PB14" s="10">
        <v>260.51998901367188</v>
      </c>
      <c r="PC14" s="10">
        <v>68.430000305175781</v>
      </c>
      <c r="PD14" s="10">
        <v>22.229999542236332</v>
      </c>
      <c r="PE14" s="10">
        <v>84.980003356933594</v>
      </c>
      <c r="PF14" s="10">
        <v>91.349998474121094</v>
      </c>
      <c r="PG14" s="10">
        <v>64.739997863769531</v>
      </c>
      <c r="PH14" s="10">
        <v>109.01999664306641</v>
      </c>
      <c r="PI14" s="10">
        <v>212.94999694824219</v>
      </c>
      <c r="PJ14" s="10">
        <v>272.04998779296881</v>
      </c>
      <c r="PK14" s="10">
        <v>252.27000427246091</v>
      </c>
      <c r="PL14" s="10">
        <v>475.3800048828125</v>
      </c>
      <c r="PM14" s="10">
        <v>65.650001525878906</v>
      </c>
      <c r="PN14" s="10">
        <v>145.05000305175781</v>
      </c>
      <c r="PO14" s="10">
        <v>90.970001220703125</v>
      </c>
      <c r="PP14" s="10">
        <v>133.80999755859381</v>
      </c>
      <c r="PQ14" s="10">
        <v>26.590000152587891</v>
      </c>
      <c r="PR14" s="10">
        <v>84.150001525878906</v>
      </c>
      <c r="PS14" s="10">
        <v>109.5400009155273</v>
      </c>
      <c r="PT14" s="10">
        <v>122.86000061035161</v>
      </c>
      <c r="PU14" s="10">
        <v>368.83999633789063</v>
      </c>
      <c r="PV14" s="10">
        <v>187.50999450683591</v>
      </c>
      <c r="PW14" s="10">
        <v>82.760002136230469</v>
      </c>
      <c r="PX14" s="10">
        <v>205.6600036621094</v>
      </c>
      <c r="PY14" s="10">
        <v>143.16999816894531</v>
      </c>
      <c r="PZ14" s="10">
        <v>75.989997863769531</v>
      </c>
      <c r="QA14" s="10">
        <v>441.1099853515625</v>
      </c>
      <c r="QB14" s="10">
        <v>88.05999755859375</v>
      </c>
      <c r="QC14" s="10">
        <v>190.55999755859381</v>
      </c>
      <c r="QD14" s="10">
        <v>213.5</v>
      </c>
      <c r="QE14" s="10">
        <v>828.34002685546875</v>
      </c>
      <c r="QF14" s="10">
        <v>169.2799987792969</v>
      </c>
      <c r="QG14" s="10">
        <v>40.959999084472663</v>
      </c>
      <c r="QH14" s="10">
        <v>28.489999771118161</v>
      </c>
      <c r="QI14" s="10">
        <v>370.70001220703119</v>
      </c>
      <c r="QJ14" s="10">
        <v>46.470001220703118</v>
      </c>
      <c r="QK14" s="10">
        <v>31.860000610351559</v>
      </c>
      <c r="QL14" s="10">
        <v>43.830001831054688</v>
      </c>
      <c r="QM14" s="10">
        <v>31.409999847412109</v>
      </c>
      <c r="QN14" s="10">
        <v>375.45999145507813</v>
      </c>
      <c r="QO14" s="10">
        <v>207.55999755859381</v>
      </c>
      <c r="QP14" s="10">
        <v>34.810001373291023</v>
      </c>
      <c r="QQ14" s="10">
        <v>139.80000305175781</v>
      </c>
      <c r="QR14" s="10">
        <v>409.48001098632813</v>
      </c>
      <c r="QS14" s="10">
        <v>531.5999755859375</v>
      </c>
      <c r="QT14" s="10">
        <v>125.38999938964839</v>
      </c>
      <c r="QU14" s="10">
        <v>127.73000335693359</v>
      </c>
      <c r="QV14" s="10">
        <v>42.779998779296882</v>
      </c>
      <c r="QW14" s="10">
        <v>194.5299987792969</v>
      </c>
      <c r="QX14" s="10">
        <v>222.25</v>
      </c>
      <c r="QY14" s="10">
        <v>35.400001525878913</v>
      </c>
      <c r="QZ14" s="10">
        <v>369.32998657226563</v>
      </c>
      <c r="RA14" s="10">
        <v>13.10000038146973</v>
      </c>
      <c r="RB14" s="10">
        <v>8.9200000762939453</v>
      </c>
      <c r="RC14" s="10">
        <v>27.870000839233398</v>
      </c>
      <c r="RD14" s="10">
        <v>238.58000183105469</v>
      </c>
      <c r="RE14" s="10">
        <v>203.80000305175781</v>
      </c>
      <c r="RF14" s="10">
        <v>67.930000305175781</v>
      </c>
      <c r="RG14" s="10">
        <v>105.8000030517578</v>
      </c>
      <c r="RH14" s="10">
        <v>20.629999160766602</v>
      </c>
      <c r="RI14" s="10">
        <v>54.956668853759773</v>
      </c>
      <c r="RJ14" s="10">
        <v>81.069999694824219</v>
      </c>
      <c r="RK14" s="10">
        <v>10.079999923706049</v>
      </c>
      <c r="RL14" s="10">
        <v>164.03999328613281</v>
      </c>
      <c r="RM14" s="10">
        <v>240.8399963378906</v>
      </c>
      <c r="RN14" s="10">
        <v>82.55999755859375</v>
      </c>
      <c r="RO14" s="10">
        <v>39.610000610351563</v>
      </c>
      <c r="RP14" s="10">
        <v>85.430000305175781</v>
      </c>
      <c r="RQ14" s="10">
        <v>321.67999267578119</v>
      </c>
      <c r="RR14" s="10">
        <v>41.740001678466797</v>
      </c>
      <c r="RS14" s="10">
        <v>36.189998626708977</v>
      </c>
      <c r="RT14" s="10">
        <v>28.75</v>
      </c>
      <c r="RU14" s="10">
        <v>34.720001220703118</v>
      </c>
      <c r="RV14" s="10">
        <v>235.41999816894531</v>
      </c>
      <c r="RW14" s="10">
        <v>742.0999755859375</v>
      </c>
      <c r="RX14" s="10">
        <v>86.94000244140625</v>
      </c>
      <c r="RY14" s="10">
        <v>60.540000915527337</v>
      </c>
      <c r="RZ14" s="10">
        <v>94.480003356933594</v>
      </c>
      <c r="SA14" s="10">
        <v>121.3000030517578</v>
      </c>
      <c r="SB14" s="10">
        <v>197.99000549316409</v>
      </c>
      <c r="SC14" s="10">
        <v>105.0699996948242</v>
      </c>
      <c r="SD14" s="10">
        <v>151.44000244140619</v>
      </c>
    </row>
    <row r="15" spans="1:498" x14ac:dyDescent="0.25">
      <c r="A15" s="13">
        <v>45261</v>
      </c>
      <c r="B15" s="10">
        <v>99.849998474121094</v>
      </c>
      <c r="C15" s="10">
        <v>76.739997863769531</v>
      </c>
      <c r="D15" s="10">
        <v>104.879997253418</v>
      </c>
      <c r="E15" s="10">
        <v>143.4100036621094</v>
      </c>
      <c r="F15" s="10">
        <v>338.05999755859381</v>
      </c>
      <c r="G15" s="10">
        <v>612.469970703125</v>
      </c>
      <c r="H15" s="10">
        <v>121.38999938964839</v>
      </c>
      <c r="I15" s="10">
        <v>18.129999160766602</v>
      </c>
      <c r="J15" s="10">
        <v>82.610000610351563</v>
      </c>
      <c r="K15" s="10">
        <v>128.78999328613281</v>
      </c>
      <c r="L15" s="10">
        <v>272.6400146484375</v>
      </c>
      <c r="M15" s="10">
        <v>135.02000427246091</v>
      </c>
      <c r="N15" s="10">
        <v>116.0299987792969</v>
      </c>
      <c r="O15" s="10">
        <v>126.1600036621094</v>
      </c>
      <c r="P15" s="10">
        <v>118.13999938964839</v>
      </c>
      <c r="Q15" s="10">
        <v>220.44999694824219</v>
      </c>
      <c r="R15" s="10">
        <v>108.69000244140619</v>
      </c>
      <c r="S15" s="10">
        <v>51.490001678466797</v>
      </c>
      <c r="T15" s="10">
        <v>137.67999267578119</v>
      </c>
      <c r="U15" s="10">
        <v>131.86000061035159</v>
      </c>
      <c r="V15" s="10">
        <v>133.32000732421881</v>
      </c>
      <c r="W15" s="10">
        <v>42.599998474121087</v>
      </c>
      <c r="X15" s="10">
        <v>147.0299987792969</v>
      </c>
      <c r="Y15" s="10">
        <v>9.5600004196166992</v>
      </c>
      <c r="Z15" s="10">
        <v>78.970001220703125</v>
      </c>
      <c r="AA15" s="10">
        <v>13.02000045776367</v>
      </c>
      <c r="AB15" s="10">
        <v>80.510002136230469</v>
      </c>
      <c r="AC15" s="10">
        <v>173.75999450683591</v>
      </c>
      <c r="AD15" s="10">
        <v>65.970001220703125</v>
      </c>
      <c r="AE15" s="10">
        <v>210.4700012207031</v>
      </c>
      <c r="AF15" s="10">
        <v>133.24000549316409</v>
      </c>
      <c r="AG15" s="10">
        <v>356.29000854492188</v>
      </c>
      <c r="AH15" s="10">
        <v>157.05000305175781</v>
      </c>
      <c r="AI15" s="10">
        <v>272.45001220703119</v>
      </c>
      <c r="AJ15" s="10">
        <v>92.279998779296875</v>
      </c>
      <c r="AK15" s="10">
        <v>183.07000732421881</v>
      </c>
      <c r="AL15" s="10">
        <v>295.48001098632813</v>
      </c>
      <c r="AM15" s="10">
        <v>326.76998901367188</v>
      </c>
      <c r="AN15" s="10">
        <v>36.200000762939453</v>
      </c>
      <c r="AO15" s="10">
        <v>191.24000549316409</v>
      </c>
      <c r="AP15" s="10">
        <v>151.5899963378906</v>
      </c>
      <c r="AQ15" s="10">
        <v>84.010002136230469</v>
      </c>
      <c r="AR15" s="10">
        <v>82.629997253417969</v>
      </c>
      <c r="AS15" s="10">
        <v>75.080001831054688</v>
      </c>
      <c r="AT15" s="10">
        <v>216.63999938964841</v>
      </c>
      <c r="AU15" s="10">
        <v>248</v>
      </c>
      <c r="AV15" s="10">
        <v>168.30000305175781</v>
      </c>
      <c r="AW15" s="10">
        <v>16.760000228881839</v>
      </c>
      <c r="AX15" s="10">
        <v>113.84999847412109</v>
      </c>
      <c r="AY15" s="10">
        <v>224.92999267578119</v>
      </c>
      <c r="AZ15" s="10">
        <v>232.94000244140619</v>
      </c>
      <c r="BA15" s="10">
        <v>2641.75</v>
      </c>
      <c r="BB15" s="10">
        <v>177.94000244140619</v>
      </c>
      <c r="BC15" s="10">
        <v>195.19000244140619</v>
      </c>
      <c r="BD15" s="10">
        <v>231.50999450683591</v>
      </c>
      <c r="BE15" s="10">
        <v>33.790000915527337</v>
      </c>
      <c r="BF15" s="10">
        <v>56.340000152587891</v>
      </c>
      <c r="BG15" s="10">
        <v>30.95999908447266</v>
      </c>
      <c r="BH15" s="10">
        <v>48.709999084472663</v>
      </c>
      <c r="BI15" s="10">
        <v>33.889999389648438</v>
      </c>
      <c r="BJ15" s="10">
        <v>36.549999237060547</v>
      </c>
      <c r="BK15" s="10">
        <v>238.25</v>
      </c>
      <c r="BL15" s="10">
        <v>357.07000732421881</v>
      </c>
      <c r="BM15" s="10">
        <v>73.419998168945313</v>
      </c>
      <c r="BN15" s="10">
        <v>307</v>
      </c>
      <c r="BO15" s="10">
        <v>64.569999694824219</v>
      </c>
      <c r="BP15" s="10">
        <v>234.63999938964841</v>
      </c>
      <c r="BQ15" s="10">
        <v>756.3499755859375</v>
      </c>
      <c r="BR15" s="10">
        <v>114.2799987792969</v>
      </c>
      <c r="BS15" s="10">
        <v>233.8699951171875</v>
      </c>
      <c r="BT15" s="10">
        <v>3159.56005859375</v>
      </c>
      <c r="BU15" s="10">
        <v>33.950000762939453</v>
      </c>
      <c r="BV15" s="10">
        <v>63.279998779296882</v>
      </c>
      <c r="BW15" s="10">
        <v>56.139999389648438</v>
      </c>
      <c r="BX15" s="10">
        <v>50.099998474121087</v>
      </c>
      <c r="BY15" s="10">
        <v>930</v>
      </c>
      <c r="BZ15" s="10">
        <v>195.3999938964844</v>
      </c>
      <c r="CA15" s="10">
        <v>74.139999389648438</v>
      </c>
      <c r="CB15" s="10">
        <v>59.939998626708977</v>
      </c>
      <c r="CC15" s="10">
        <v>139.2799987792969</v>
      </c>
      <c r="CD15" s="10">
        <v>109.2099990844727</v>
      </c>
      <c r="CE15" s="10">
        <v>270.35000610351563</v>
      </c>
      <c r="CF15" s="10">
        <v>46.75</v>
      </c>
      <c r="CG15" s="10">
        <v>92.620002746582031</v>
      </c>
      <c r="CH15" s="10">
        <v>40.599998474121087</v>
      </c>
      <c r="CI15" s="10">
        <v>113.9300003051758</v>
      </c>
      <c r="CJ15" s="10">
        <v>107.1600036621094</v>
      </c>
      <c r="CK15" s="10">
        <v>67.389999389648438</v>
      </c>
      <c r="CL15" s="10">
        <v>15.760000228881839</v>
      </c>
      <c r="CM15" s="10">
        <v>53.220001220703118</v>
      </c>
      <c r="CN15" s="10">
        <v>40.150001525878913</v>
      </c>
      <c r="CO15" s="10">
        <v>256.760009765625</v>
      </c>
      <c r="CP15" s="10">
        <v>180.25999450683591</v>
      </c>
      <c r="CQ15" s="10">
        <v>81.410003662109375</v>
      </c>
      <c r="CR15" s="10">
        <v>212.55999755859381</v>
      </c>
      <c r="CS15" s="10">
        <v>141.03999328613281</v>
      </c>
      <c r="CT15" s="10">
        <v>204.0899963378906</v>
      </c>
      <c r="CU15" s="10">
        <v>74.879997253417969</v>
      </c>
      <c r="CV15" s="10">
        <v>28.79000091552734</v>
      </c>
      <c r="CW15" s="10">
        <v>76.30999755859375</v>
      </c>
      <c r="CX15" s="10">
        <v>83.260002136230469</v>
      </c>
      <c r="CY15" s="10">
        <v>201.67999267578119</v>
      </c>
      <c r="CZ15" s="10">
        <v>63.159999847412109</v>
      </c>
      <c r="DA15" s="10">
        <v>401.8699951171875</v>
      </c>
      <c r="DB15" s="10">
        <v>144.80999755859381</v>
      </c>
      <c r="DC15" s="10">
        <v>2233.830078125</v>
      </c>
      <c r="DD15" s="10">
        <v>228.6600036621094</v>
      </c>
      <c r="DE15" s="10">
        <v>95.370002746582031</v>
      </c>
      <c r="DF15" s="10">
        <v>269.01998901367188</v>
      </c>
      <c r="DG15" s="10">
        <v>102.65000152587891</v>
      </c>
      <c r="DH15" s="10">
        <v>558.25</v>
      </c>
      <c r="DI15" s="10">
        <v>48.470001220703118</v>
      </c>
      <c r="DJ15" s="10">
        <v>47.229999542236328</v>
      </c>
      <c r="DK15" s="10">
        <v>28.520000457763668</v>
      </c>
      <c r="DL15" s="10">
        <v>143.8399963378906</v>
      </c>
      <c r="DM15" s="10">
        <v>219.53999328613281</v>
      </c>
      <c r="DN15" s="10">
        <v>58.400001525878913</v>
      </c>
      <c r="DO15" s="10">
        <v>58.639999389648438</v>
      </c>
      <c r="DP15" s="10">
        <v>70.819999694824219</v>
      </c>
      <c r="DQ15" s="10">
        <v>78.699996948242188</v>
      </c>
      <c r="DR15" s="10">
        <v>42.209999084472663</v>
      </c>
      <c r="DS15" s="10">
        <v>48.200000762939453</v>
      </c>
      <c r="DT15" s="10">
        <v>28.360000610351559</v>
      </c>
      <c r="DU15" s="10">
        <v>115.23000335693359</v>
      </c>
      <c r="DV15" s="10">
        <v>91.680000305175781</v>
      </c>
      <c r="DW15" s="10">
        <v>241.94999694824219</v>
      </c>
      <c r="DX15" s="10">
        <v>119.879997253418</v>
      </c>
      <c r="DY15" s="10">
        <v>85.269996643066406</v>
      </c>
      <c r="DZ15" s="10">
        <v>50.130001068115227</v>
      </c>
      <c r="EA15" s="10">
        <v>28.840000152587891</v>
      </c>
      <c r="EB15" s="10">
        <v>46.200000762939453</v>
      </c>
      <c r="EC15" s="10">
        <v>85.279998779296875</v>
      </c>
      <c r="ED15" s="10">
        <v>596.25</v>
      </c>
      <c r="EE15" s="10">
        <v>26.139999389648441</v>
      </c>
      <c r="EF15" s="10">
        <v>118.5699996948242</v>
      </c>
      <c r="EG15" s="10">
        <v>33.400001525878913</v>
      </c>
      <c r="EH15" s="10">
        <v>226.30999755859381</v>
      </c>
      <c r="EI15" s="10">
        <v>68.480003356933594</v>
      </c>
      <c r="EJ15" s="10">
        <v>223.47999572753909</v>
      </c>
      <c r="EK15" s="10">
        <v>159.9100036621094</v>
      </c>
      <c r="EL15" s="10">
        <v>104.30999755859381</v>
      </c>
      <c r="EM15" s="10">
        <v>70.269996643066406</v>
      </c>
      <c r="EN15" s="10">
        <v>685.05999755859375</v>
      </c>
      <c r="EO15" s="10">
        <v>368.80999755859381</v>
      </c>
      <c r="EP15" s="10">
        <v>38.049999237060547</v>
      </c>
      <c r="EQ15" s="10">
        <v>32.549999237060547</v>
      </c>
      <c r="ER15" s="10">
        <v>45.169998168945313</v>
      </c>
      <c r="ES15" s="10">
        <v>116.620002746582</v>
      </c>
      <c r="ET15" s="10">
        <v>154.27000427246091</v>
      </c>
      <c r="EU15" s="10">
        <v>138.61000061035159</v>
      </c>
      <c r="EV15" s="10">
        <v>95.620002746582031</v>
      </c>
      <c r="EW15" s="10">
        <v>134.69000244140619</v>
      </c>
      <c r="EX15" s="10">
        <v>126.15000152587891</v>
      </c>
      <c r="EY15" s="10">
        <v>46.669998168945313</v>
      </c>
      <c r="EZ15" s="10">
        <v>397.17999267578119</v>
      </c>
      <c r="FA15" s="10">
        <v>143.21000671386719</v>
      </c>
      <c r="FB15" s="10">
        <v>52.299999237060547</v>
      </c>
      <c r="FC15" s="10">
        <v>130.86000061035159</v>
      </c>
      <c r="FD15" s="10">
        <v>108.1699981689453</v>
      </c>
      <c r="FE15" s="10">
        <v>92.639999389648438</v>
      </c>
      <c r="FF15" s="10">
        <v>72.410003662109375</v>
      </c>
      <c r="FG15" s="10">
        <v>85.459999084472656</v>
      </c>
      <c r="FH15" s="10">
        <v>230.46000671386719</v>
      </c>
      <c r="FI15" s="10">
        <v>41.729999542236328</v>
      </c>
      <c r="FJ15" s="10">
        <v>192.3999938964844</v>
      </c>
      <c r="FK15" s="10">
        <v>67.480003356933594</v>
      </c>
      <c r="FL15" s="10">
        <v>68.360000610351563</v>
      </c>
      <c r="FM15" s="10">
        <v>137.75999450683591</v>
      </c>
      <c r="FN15" s="10">
        <v>483.1199951171875</v>
      </c>
      <c r="FO15" s="10">
        <v>584.03997802734375</v>
      </c>
      <c r="FP15" s="10">
        <v>90.120002746582031</v>
      </c>
      <c r="FQ15" s="10">
        <v>106.51999664306641</v>
      </c>
      <c r="FR15" s="10">
        <v>102.0299987792969</v>
      </c>
      <c r="FS15" s="10">
        <v>123.59999847412109</v>
      </c>
      <c r="FT15" s="10">
        <v>258.8900146484375</v>
      </c>
      <c r="FU15" s="10">
        <v>40.240001678466797</v>
      </c>
      <c r="FV15" s="10">
        <v>222.1199951171875</v>
      </c>
      <c r="FW15" s="10">
        <v>824.41998291015625</v>
      </c>
      <c r="FX15" s="10">
        <v>58.540000915527337</v>
      </c>
      <c r="FY15" s="10">
        <v>220.6600036621094</v>
      </c>
      <c r="FZ15" s="10">
        <v>131.94000244140619</v>
      </c>
      <c r="GA15" s="10">
        <v>82.040000915527344</v>
      </c>
      <c r="GB15" s="10">
        <v>407.6300048828125</v>
      </c>
      <c r="GC15" s="10">
        <v>51.759998321533203</v>
      </c>
      <c r="GD15" s="10">
        <v>60.779998779296882</v>
      </c>
      <c r="GE15" s="10">
        <v>38.990001678466797</v>
      </c>
      <c r="GF15" s="10">
        <v>139.30999755859381</v>
      </c>
      <c r="GG15" s="10">
        <v>120.0899963378906</v>
      </c>
      <c r="GH15" s="10">
        <v>134.3699951171875</v>
      </c>
      <c r="GI15" s="10">
        <v>102.9899978637695</v>
      </c>
      <c r="GJ15" s="10">
        <v>172.6000061035156</v>
      </c>
      <c r="GK15" s="10">
        <v>455.17001342773438</v>
      </c>
      <c r="GL15" s="10">
        <v>1127.7099609375</v>
      </c>
      <c r="GM15" s="10">
        <v>60.819999694824219</v>
      </c>
      <c r="GN15" s="10">
        <v>97.910003662109375</v>
      </c>
      <c r="GO15" s="10">
        <v>264.42001342773438</v>
      </c>
      <c r="GP15" s="10">
        <v>59.900001525878913</v>
      </c>
      <c r="GQ15" s="10">
        <v>30.579999923706051</v>
      </c>
      <c r="GR15" s="10">
        <v>160.28999328613281</v>
      </c>
      <c r="GS15" s="10">
        <v>37.360000610351563</v>
      </c>
      <c r="GT15" s="10">
        <v>130.61000061035159</v>
      </c>
      <c r="GU15" s="10">
        <v>251.6300048828125</v>
      </c>
      <c r="GV15" s="10">
        <v>55.75</v>
      </c>
      <c r="GW15" s="10">
        <v>10.579999923706049</v>
      </c>
      <c r="GX15" s="10">
        <v>52.490001678466797</v>
      </c>
      <c r="GY15" s="10">
        <v>69.300003051757813</v>
      </c>
      <c r="GZ15" s="10">
        <v>30.20000076293945</v>
      </c>
      <c r="HA15" s="10">
        <v>28.260000228881839</v>
      </c>
      <c r="HB15" s="10">
        <v>25.629999160766602</v>
      </c>
      <c r="HC15" s="10">
        <v>39.240001678466797</v>
      </c>
      <c r="HD15" s="10">
        <v>123.63999938964839</v>
      </c>
      <c r="HE15" s="10">
        <v>441.1400146484375</v>
      </c>
      <c r="HF15" s="10">
        <v>69.410003662109375</v>
      </c>
      <c r="HG15" s="10">
        <v>22.340000152587891</v>
      </c>
      <c r="HH15" s="10">
        <v>122.3000030517578</v>
      </c>
      <c r="HI15" s="10">
        <v>249.69000244140619</v>
      </c>
      <c r="HJ15" s="10">
        <v>122.5</v>
      </c>
      <c r="HK15" s="10">
        <v>64.129997253417969</v>
      </c>
      <c r="HL15" s="10">
        <v>32.360000610351563</v>
      </c>
      <c r="HM15" s="10">
        <v>134.69999694824219</v>
      </c>
      <c r="HN15" s="10">
        <v>77.650001525878906</v>
      </c>
      <c r="HO15" s="10">
        <v>119.7900009155273</v>
      </c>
      <c r="HP15" s="10">
        <v>123.3399963378906</v>
      </c>
      <c r="HQ15" s="10">
        <v>348.42999267578119</v>
      </c>
      <c r="HR15" s="10">
        <v>37.709999084472663</v>
      </c>
      <c r="HS15" s="10">
        <v>77.819999694824219</v>
      </c>
      <c r="HT15" s="10">
        <v>48.459999084472663</v>
      </c>
      <c r="HU15" s="10">
        <v>252.36000061035159</v>
      </c>
      <c r="HV15" s="10">
        <v>18.20000076293945</v>
      </c>
      <c r="HW15" s="10">
        <v>69.540000915527344</v>
      </c>
      <c r="HX15" s="10">
        <v>190.97999572753909</v>
      </c>
      <c r="HY15" s="10">
        <v>141.07000732421881</v>
      </c>
      <c r="HZ15" s="10">
        <v>16.889999389648441</v>
      </c>
      <c r="IA15" s="10">
        <v>170.8399963378906</v>
      </c>
      <c r="IB15" s="10">
        <v>71.150001525878906</v>
      </c>
      <c r="IC15" s="10">
        <v>319.6199951171875</v>
      </c>
      <c r="ID15" s="10">
        <v>197.7799987792969</v>
      </c>
      <c r="IE15" s="10">
        <v>31.319999694824219</v>
      </c>
      <c r="IF15" s="10">
        <v>17.719999313354489</v>
      </c>
      <c r="IG15" s="10">
        <v>52.900001525878913</v>
      </c>
      <c r="IH15" s="10">
        <v>29.5</v>
      </c>
      <c r="II15" s="10">
        <v>303.48001098632813</v>
      </c>
      <c r="IJ15" s="10">
        <v>495.20999145507813</v>
      </c>
      <c r="IK15" s="10">
        <v>11.739999771118161</v>
      </c>
      <c r="IL15" s="10">
        <v>238.74000549316409</v>
      </c>
      <c r="IM15" s="10">
        <v>160.55000305175781</v>
      </c>
      <c r="IN15" s="10">
        <v>203.03999328613281</v>
      </c>
      <c r="IO15" s="10">
        <v>482.60000610351563</v>
      </c>
      <c r="IP15" s="10">
        <v>245.24000549316409</v>
      </c>
      <c r="IQ15" s="10">
        <v>109.7900009155273</v>
      </c>
      <c r="IR15" s="10">
        <v>54.020000457763672</v>
      </c>
      <c r="IS15" s="10">
        <v>72.239997863769531</v>
      </c>
      <c r="IT15" s="10">
        <v>192.19000244140619</v>
      </c>
      <c r="IU15" s="10">
        <v>43.740001678466797</v>
      </c>
      <c r="IV15" s="10">
        <v>114.2399978637695</v>
      </c>
      <c r="IW15" s="10">
        <v>76.779998779296875</v>
      </c>
      <c r="IX15" s="10">
        <v>37.189998626708977</v>
      </c>
      <c r="IY15" s="10">
        <v>31.309999465942379</v>
      </c>
      <c r="IZ15" s="10">
        <v>574.32000732421875</v>
      </c>
      <c r="JA15" s="10">
        <v>315.20001220703119</v>
      </c>
      <c r="JB15" s="10">
        <v>14.85999965667725</v>
      </c>
      <c r="JC15" s="10">
        <v>34.029998779296882</v>
      </c>
      <c r="JD15" s="10">
        <v>216.9100036621094</v>
      </c>
      <c r="JE15" s="10">
        <v>65.489997863769531</v>
      </c>
      <c r="JF15" s="10">
        <v>189.80000305175781</v>
      </c>
      <c r="JG15" s="10">
        <v>116.9100036621094</v>
      </c>
      <c r="JH15" s="10">
        <v>160.78999328613281</v>
      </c>
      <c r="JI15" s="10">
        <v>129.55999755859381</v>
      </c>
      <c r="JJ15" s="10">
        <v>158.3800048828125</v>
      </c>
      <c r="JK15" s="10">
        <v>53.889999389648438</v>
      </c>
      <c r="JL15" s="10">
        <v>156.8399963378906</v>
      </c>
      <c r="JM15" s="10">
        <v>28.569999694824219</v>
      </c>
      <c r="JN15" s="10">
        <v>52.880001068115227</v>
      </c>
      <c r="JO15" s="10">
        <v>32.169998168945313</v>
      </c>
      <c r="JP15" s="10">
        <v>13.22000026702881</v>
      </c>
      <c r="JQ15" s="10">
        <v>137.8800048828125</v>
      </c>
      <c r="JR15" s="10">
        <v>124.0400009155273</v>
      </c>
      <c r="JS15" s="10">
        <v>20.04999923706055</v>
      </c>
      <c r="JT15" s="10">
        <v>17.75</v>
      </c>
      <c r="JU15" s="10">
        <v>549</v>
      </c>
      <c r="JV15" s="10">
        <v>35.520000457763672</v>
      </c>
      <c r="JW15" s="10">
        <v>44.599998474121087</v>
      </c>
      <c r="JX15" s="10">
        <v>194.69000244140619</v>
      </c>
      <c r="JY15" s="10">
        <v>218.9700012207031</v>
      </c>
      <c r="JZ15" s="10">
        <v>722.08001708984375</v>
      </c>
      <c r="KA15" s="10">
        <v>100.9199981689453</v>
      </c>
      <c r="KB15" s="10">
        <v>46.799999237060547</v>
      </c>
      <c r="KC15" s="10">
        <v>108.94000244140619</v>
      </c>
      <c r="KD15" s="10">
        <v>131.58000183105469</v>
      </c>
      <c r="KE15" s="10">
        <v>411.70001220703119</v>
      </c>
      <c r="KF15" s="10">
        <v>84.25</v>
      </c>
      <c r="KG15" s="10">
        <v>449.41000366210938</v>
      </c>
      <c r="KH15" s="10">
        <v>70.010002136230469</v>
      </c>
      <c r="KI15" s="10">
        <v>203.91999816894531</v>
      </c>
      <c r="KJ15" s="10">
        <v>466.6099853515625</v>
      </c>
      <c r="KK15" s="10">
        <v>95.5</v>
      </c>
      <c r="KL15" s="10">
        <v>132.71000671386719</v>
      </c>
      <c r="KM15" s="10">
        <v>25.440000534057621</v>
      </c>
      <c r="KN15" s="10">
        <v>151.41999816894531</v>
      </c>
      <c r="KO15" s="10">
        <v>240.16999816894531</v>
      </c>
      <c r="KP15" s="10">
        <v>209.2799987792969</v>
      </c>
      <c r="KQ15" s="10">
        <v>197.3999938964844</v>
      </c>
      <c r="KR15" s="10">
        <v>467.35000610351563</v>
      </c>
      <c r="KS15" s="10">
        <v>62.159999847412109</v>
      </c>
      <c r="KT15" s="10">
        <v>414.3599853515625</v>
      </c>
      <c r="KU15" s="10">
        <v>33.400001525878913</v>
      </c>
      <c r="KV15" s="10">
        <v>65.989997863769531</v>
      </c>
      <c r="KW15" s="10">
        <v>285.95999145507813</v>
      </c>
      <c r="KX15" s="10">
        <v>464.64999389648438</v>
      </c>
      <c r="KY15" s="10">
        <v>79.989997863769531</v>
      </c>
      <c r="KZ15" s="10">
        <v>103.4599990844727</v>
      </c>
      <c r="LA15" s="10">
        <v>324.82000732421881</v>
      </c>
      <c r="LB15" s="10">
        <v>63.759998321533203</v>
      </c>
      <c r="LC15" s="10">
        <v>1104.469970703125</v>
      </c>
      <c r="LD15" s="10">
        <v>40.840000152587891</v>
      </c>
      <c r="LE15" s="10">
        <v>84.660003662109375</v>
      </c>
      <c r="LF15" s="10">
        <v>75.930000305175781</v>
      </c>
      <c r="LG15" s="10">
        <v>374.510009765625</v>
      </c>
      <c r="LH15" s="10">
        <v>126.7900009155273</v>
      </c>
      <c r="LI15" s="10">
        <v>79.830001831054688</v>
      </c>
      <c r="LJ15" s="10">
        <v>91.930000305175781</v>
      </c>
      <c r="LK15" s="10">
        <v>362.760009765625</v>
      </c>
      <c r="LL15" s="10">
        <v>61.930000305175781</v>
      </c>
      <c r="LM15" s="10">
        <v>70.819999694824219</v>
      </c>
      <c r="LN15" s="10">
        <v>559.6099853515625</v>
      </c>
      <c r="LO15" s="10">
        <v>55.220001220703118</v>
      </c>
      <c r="LP15" s="10">
        <v>371.04998779296881</v>
      </c>
      <c r="LQ15" s="10">
        <v>80.889999389648438</v>
      </c>
      <c r="LR15" s="10">
        <v>36.900001525878913</v>
      </c>
      <c r="LS15" s="10">
        <v>325.32000732421881</v>
      </c>
      <c r="LT15" s="10">
        <v>527.70001220703125</v>
      </c>
      <c r="LU15" s="10">
        <v>55.900001525878913</v>
      </c>
      <c r="LV15" s="10">
        <v>91.279998779296875</v>
      </c>
      <c r="LW15" s="10">
        <v>465.739990234375</v>
      </c>
      <c r="LX15" s="10">
        <v>41.200000762939453</v>
      </c>
      <c r="LY15" s="10">
        <v>22.14999961853027</v>
      </c>
      <c r="LZ15" s="10">
        <v>23.14999961853027</v>
      </c>
      <c r="MA15" s="10">
        <v>59.169998168945313</v>
      </c>
      <c r="MB15" s="10">
        <v>113.48000335693359</v>
      </c>
      <c r="MC15" s="10">
        <v>26.20000076293945</v>
      </c>
      <c r="MD15" s="10">
        <v>238.80000305175781</v>
      </c>
      <c r="ME15" s="10">
        <v>226.4700012207031</v>
      </c>
      <c r="MF15" s="10">
        <v>80.279998779296875</v>
      </c>
      <c r="MG15" s="10">
        <v>479.83999633789063</v>
      </c>
      <c r="MH15" s="10">
        <v>16.420000076293949</v>
      </c>
      <c r="MI15" s="10">
        <v>48.369998931884773</v>
      </c>
      <c r="MJ15" s="10">
        <v>170.4100036621094</v>
      </c>
      <c r="MK15" s="10">
        <v>467.64999389648438</v>
      </c>
      <c r="ML15" s="10">
        <v>6320.35009765625</v>
      </c>
      <c r="MM15" s="10">
        <v>205.67999267578119</v>
      </c>
      <c r="MN15" s="10">
        <v>980.52001953125</v>
      </c>
      <c r="MO15" s="10">
        <v>58.830001831054688</v>
      </c>
      <c r="MP15" s="10">
        <v>405.739990234375</v>
      </c>
      <c r="MQ15" s="10">
        <v>81.80999755859375</v>
      </c>
      <c r="MR15" s="10">
        <v>74.180000305175781</v>
      </c>
      <c r="MS15" s="10">
        <v>69.870002746582031</v>
      </c>
      <c r="MT15" s="10">
        <v>117.1600036621094</v>
      </c>
      <c r="MU15" s="10">
        <v>86.75</v>
      </c>
      <c r="MV15" s="10">
        <v>93.180000305175781</v>
      </c>
      <c r="MW15" s="10">
        <v>169.71000671386719</v>
      </c>
      <c r="MX15" s="10">
        <v>296.16000366210938</v>
      </c>
      <c r="MY15" s="10">
        <v>15.77999973297119</v>
      </c>
      <c r="MZ15" s="10">
        <v>440.16000366210938</v>
      </c>
      <c r="NA15" s="10">
        <v>123.9199981689453</v>
      </c>
      <c r="NB15" s="10">
        <v>185.75</v>
      </c>
      <c r="NC15" s="10">
        <v>59.650001525878913</v>
      </c>
      <c r="ND15" s="10">
        <v>66.279998779296875</v>
      </c>
      <c r="NE15" s="10">
        <v>168.69000244140619</v>
      </c>
      <c r="NF15" s="10">
        <v>28.909999847412109</v>
      </c>
      <c r="NG15" s="10">
        <v>17.45000076293945</v>
      </c>
      <c r="NH15" s="10">
        <v>94.050003051757813</v>
      </c>
      <c r="NI15" s="10">
        <v>129.69999694824219</v>
      </c>
      <c r="NJ15" s="10">
        <v>75.080001831054688</v>
      </c>
      <c r="NK15" s="10">
        <v>232.1499938964844</v>
      </c>
      <c r="NL15" s="10">
        <v>139</v>
      </c>
      <c r="NM15" s="10">
        <v>357.6400146484375</v>
      </c>
      <c r="NN15" s="10">
        <v>143.6300048828125</v>
      </c>
      <c r="NO15" s="10">
        <v>26.479999542236332</v>
      </c>
      <c r="NP15" s="10">
        <v>74.529998779296875</v>
      </c>
      <c r="NQ15" s="10">
        <v>162.46000671386719</v>
      </c>
      <c r="NR15" s="10">
        <v>118.2600021362305</v>
      </c>
      <c r="NS15" s="10">
        <v>97.739997863769531</v>
      </c>
      <c r="NT15" s="10">
        <v>63.419998168945313</v>
      </c>
      <c r="NU15" s="10">
        <v>159.4100036621094</v>
      </c>
      <c r="NV15" s="10">
        <v>266</v>
      </c>
      <c r="NW15" s="10">
        <v>91.019996643066406</v>
      </c>
      <c r="NX15" s="10">
        <v>97.419998168945313</v>
      </c>
      <c r="NY15" s="10">
        <v>190.55000305175781</v>
      </c>
      <c r="NZ15" s="10">
        <v>129.66999816894531</v>
      </c>
      <c r="OA15" s="10">
        <v>136.16999816894531</v>
      </c>
      <c r="OB15" s="10">
        <v>133.6300048828125</v>
      </c>
      <c r="OC15" s="10">
        <v>107.9199981689453</v>
      </c>
      <c r="OD15" s="10">
        <v>82.319999694824219</v>
      </c>
      <c r="OE15" s="10">
        <v>54.599998474121087</v>
      </c>
      <c r="OF15" s="10">
        <v>63.959999084472663</v>
      </c>
      <c r="OG15" s="10">
        <v>17.569999694824219</v>
      </c>
      <c r="OH15" s="10">
        <v>163.91999816894531</v>
      </c>
      <c r="OI15" s="10">
        <v>159.63999938964841</v>
      </c>
      <c r="OJ15" s="10">
        <v>91.279998779296875</v>
      </c>
      <c r="OK15" s="10">
        <v>83.370002746582031</v>
      </c>
      <c r="OL15" s="10">
        <v>281.47000122070313</v>
      </c>
      <c r="OM15" s="10">
        <v>40.909999847412109</v>
      </c>
      <c r="ON15" s="10">
        <v>540.58001708984375</v>
      </c>
      <c r="OO15" s="10">
        <v>132.13999938964841</v>
      </c>
      <c r="OP15" s="10">
        <v>110.73000335693359</v>
      </c>
      <c r="OQ15" s="10">
        <v>422</v>
      </c>
      <c r="OR15" s="10">
        <v>260</v>
      </c>
      <c r="OS15" s="10">
        <v>250.57000732421881</v>
      </c>
      <c r="OT15" s="10">
        <v>52.389999389648438</v>
      </c>
      <c r="OU15" s="10">
        <v>79.180000305175781</v>
      </c>
      <c r="OV15" s="10">
        <v>73.199996948242188</v>
      </c>
      <c r="OW15" s="10">
        <v>690.78997802734375</v>
      </c>
      <c r="OX15" s="10">
        <v>282.32998657226563</v>
      </c>
      <c r="OY15" s="10">
        <v>128.82000732421881</v>
      </c>
      <c r="OZ15" s="10">
        <v>98.19000244140625</v>
      </c>
      <c r="PA15" s="10">
        <v>111.4199981689453</v>
      </c>
      <c r="PB15" s="10">
        <v>279.8599853515625</v>
      </c>
      <c r="PC15" s="10">
        <v>71.519996643066406</v>
      </c>
      <c r="PD15" s="10">
        <v>26.690000534057621</v>
      </c>
      <c r="PE15" s="10">
        <v>93.779998779296875</v>
      </c>
      <c r="PF15" s="10">
        <v>99.199996948242188</v>
      </c>
      <c r="PG15" s="10">
        <v>73.919998168945313</v>
      </c>
      <c r="PH15" s="10">
        <v>119.75</v>
      </c>
      <c r="PI15" s="10">
        <v>203.50999450683591</v>
      </c>
      <c r="PJ15" s="10">
        <v>297.79000854492188</v>
      </c>
      <c r="PK15" s="10">
        <v>269.6300048828125</v>
      </c>
      <c r="PL15" s="10">
        <v>545.96002197265625</v>
      </c>
      <c r="PM15" s="10">
        <v>72.800003051757813</v>
      </c>
      <c r="PN15" s="10">
        <v>152.25</v>
      </c>
      <c r="PO15" s="10">
        <v>102.4499969482422</v>
      </c>
      <c r="PP15" s="10">
        <v>157.8399963378906</v>
      </c>
      <c r="PQ15" s="10">
        <v>32.700000762939453</v>
      </c>
      <c r="PR15" s="10">
        <v>90.160003662109375</v>
      </c>
      <c r="PS15" s="10">
        <v>134.7799987792969</v>
      </c>
      <c r="PT15" s="10">
        <v>132</v>
      </c>
      <c r="PU15" s="10">
        <v>409.01998901367188</v>
      </c>
      <c r="PV15" s="10">
        <v>227.66999816894531</v>
      </c>
      <c r="PW15" s="10">
        <v>93.860000610351563</v>
      </c>
      <c r="PX15" s="10">
        <v>238.83000183105469</v>
      </c>
      <c r="PY15" s="10">
        <v>155.21000671386719</v>
      </c>
      <c r="PZ15" s="10">
        <v>77.879997253417969</v>
      </c>
      <c r="QA15" s="10">
        <v>496.1300048828125</v>
      </c>
      <c r="QB15" s="10">
        <v>89.040000915527344</v>
      </c>
      <c r="QC15" s="10">
        <v>210.07000732421881</v>
      </c>
      <c r="QD15" s="10">
        <v>227.5299987792969</v>
      </c>
      <c r="QE15" s="10">
        <v>970.27001953125</v>
      </c>
      <c r="QF15" s="10">
        <v>181.97999572753909</v>
      </c>
      <c r="QG15" s="10">
        <v>47.360000610351563</v>
      </c>
      <c r="QH15" s="10">
        <v>33.270000457763672</v>
      </c>
      <c r="QI15" s="10">
        <v>413.73001098632813</v>
      </c>
      <c r="QJ15" s="10">
        <v>48.200000762939453</v>
      </c>
      <c r="QK15" s="10">
        <v>39.380001068115227</v>
      </c>
      <c r="QL15" s="10">
        <v>57.349998474121087</v>
      </c>
      <c r="QM15" s="10">
        <v>34.400001525878913</v>
      </c>
      <c r="QN15" s="10">
        <v>472.02999877929688</v>
      </c>
      <c r="QO15" s="10">
        <v>231.3699951171875</v>
      </c>
      <c r="QP15" s="10">
        <v>40.240001678466797</v>
      </c>
      <c r="QQ15" s="10">
        <v>154.9100036621094</v>
      </c>
      <c r="QR15" s="10">
        <v>501.82998657226563</v>
      </c>
      <c r="QS15" s="10">
        <v>547.15997314453125</v>
      </c>
      <c r="QT15" s="10">
        <v>137.69999694824219</v>
      </c>
      <c r="QU15" s="10">
        <v>126.379997253418</v>
      </c>
      <c r="QV15" s="10">
        <v>46.759998321533203</v>
      </c>
      <c r="QW15" s="10">
        <v>217.77000427246091</v>
      </c>
      <c r="QX15" s="10">
        <v>242.72999572753909</v>
      </c>
      <c r="QY15" s="10">
        <v>38.580001831054688</v>
      </c>
      <c r="QZ15" s="10">
        <v>351.16000366210938</v>
      </c>
      <c r="RA15" s="10">
        <v>18.090000152587891</v>
      </c>
      <c r="RB15" s="10">
        <v>9.369999885559082</v>
      </c>
      <c r="RC15" s="10">
        <v>30.5</v>
      </c>
      <c r="RD15" s="10">
        <v>256.45001220703119</v>
      </c>
      <c r="RE15" s="10">
        <v>215.6300048828125</v>
      </c>
      <c r="RF15" s="10">
        <v>73.260002136230469</v>
      </c>
      <c r="RG15" s="10">
        <v>120.120002746582</v>
      </c>
      <c r="RH15" s="10">
        <v>20.79000091552734</v>
      </c>
      <c r="RI15" s="10">
        <v>51.446666717529297</v>
      </c>
      <c r="RJ15" s="10">
        <v>92.580001831054688</v>
      </c>
      <c r="RK15" s="10">
        <v>11.329999923706049</v>
      </c>
      <c r="RL15" s="10">
        <v>173.80000305175781</v>
      </c>
      <c r="RM15" s="10">
        <v>288.85000610351563</v>
      </c>
      <c r="RN15" s="10">
        <v>84.970001220703125</v>
      </c>
      <c r="RO15" s="10">
        <v>45.020000457763672</v>
      </c>
      <c r="RP15" s="10">
        <v>89.459999084472656</v>
      </c>
      <c r="RQ15" s="10">
        <v>351.79000854492188</v>
      </c>
      <c r="RR15" s="10">
        <v>48.389999389648438</v>
      </c>
      <c r="RS15" s="10">
        <v>41.729999542236328</v>
      </c>
      <c r="RT15" s="10">
        <v>31.739999771118161</v>
      </c>
      <c r="RU15" s="10">
        <v>37.279998779296882</v>
      </c>
      <c r="RV15" s="10">
        <v>245.4100036621094</v>
      </c>
      <c r="RW15" s="10">
        <v>803.58001708984375</v>
      </c>
      <c r="RX15" s="10">
        <v>85.150001525878906</v>
      </c>
      <c r="RY15" s="10">
        <v>61.430000305175781</v>
      </c>
      <c r="RZ15" s="10">
        <v>106.1999969482422</v>
      </c>
      <c r="SA15" s="10">
        <v>127.3300018310547</v>
      </c>
      <c r="SB15" s="10">
        <v>241.2200012207031</v>
      </c>
      <c r="SC15" s="10">
        <v>117.9700012207031</v>
      </c>
      <c r="SD15" s="10">
        <v>179.1300048828125</v>
      </c>
    </row>
    <row r="16" spans="1:498" x14ac:dyDescent="0.25">
      <c r="A16" s="13">
        <v>45292</v>
      </c>
      <c r="B16" s="10">
        <v>110</v>
      </c>
      <c r="C16" s="10">
        <v>81.44000244140625</v>
      </c>
      <c r="D16" s="10">
        <v>109.84999847412109</v>
      </c>
      <c r="E16" s="10">
        <v>159.82000732421881</v>
      </c>
      <c r="F16" s="10">
        <v>346.92001342773438</v>
      </c>
      <c r="G16" s="10">
        <v>580.07000732421875</v>
      </c>
      <c r="H16" s="10">
        <v>138.58000183105469</v>
      </c>
      <c r="I16" s="10">
        <v>19.340000152587891</v>
      </c>
      <c r="J16" s="10">
        <v>83.279998779296875</v>
      </c>
      <c r="K16" s="10">
        <v>138.75</v>
      </c>
      <c r="L16" s="10">
        <v>273.47000122070313</v>
      </c>
      <c r="M16" s="10">
        <v>134.47999572753909</v>
      </c>
      <c r="N16" s="10">
        <v>116.879997253418</v>
      </c>
      <c r="O16" s="10">
        <v>146.88999938964841</v>
      </c>
      <c r="P16" s="10">
        <v>129.30999755859381</v>
      </c>
      <c r="Q16" s="10">
        <v>268.92001342773438</v>
      </c>
      <c r="R16" s="10">
        <v>124.25</v>
      </c>
      <c r="S16" s="10">
        <v>51.880001068115227</v>
      </c>
      <c r="T16" s="10">
        <v>143.80999755859381</v>
      </c>
      <c r="U16" s="10">
        <v>138.16999816894531</v>
      </c>
      <c r="V16" s="10">
        <v>139.55999755859381</v>
      </c>
      <c r="W16" s="10">
        <v>41.580001831054688</v>
      </c>
      <c r="X16" s="10">
        <v>149.92999267578119</v>
      </c>
      <c r="Y16" s="10">
        <v>9.75</v>
      </c>
      <c r="Z16" s="10">
        <v>74</v>
      </c>
      <c r="AA16" s="10">
        <v>13.439999580383301</v>
      </c>
      <c r="AB16" s="10">
        <v>83.180000305175781</v>
      </c>
      <c r="AC16" s="10">
        <v>188.30999755859381</v>
      </c>
      <c r="AD16" s="10">
        <v>68.839996337890625</v>
      </c>
      <c r="AE16" s="10">
        <v>218.80999755859381</v>
      </c>
      <c r="AF16" s="10">
        <v>133.50999450683591</v>
      </c>
      <c r="AG16" s="10">
        <v>379.02999877929688</v>
      </c>
      <c r="AH16" s="10">
        <v>162.8699951171875</v>
      </c>
      <c r="AI16" s="10">
        <v>297.3900146484375</v>
      </c>
      <c r="AJ16" s="10">
        <v>96.830001831054688</v>
      </c>
      <c r="AK16" s="10">
        <v>193.58000183105469</v>
      </c>
      <c r="AL16" s="10">
        <v>353</v>
      </c>
      <c r="AM16" s="10">
        <v>288.01998901367188</v>
      </c>
      <c r="AN16" s="10">
        <v>36.110000610351563</v>
      </c>
      <c r="AO16" s="10">
        <v>185.63999938964841</v>
      </c>
      <c r="AP16" s="10">
        <v>154.3699951171875</v>
      </c>
      <c r="AQ16" s="10">
        <v>90.169998168945313</v>
      </c>
      <c r="AR16" s="10">
        <v>75.550003051757813</v>
      </c>
      <c r="AS16" s="10">
        <v>72.760002136230469</v>
      </c>
      <c r="AT16" s="10">
        <v>231.55999755859381</v>
      </c>
      <c r="AU16" s="10">
        <v>225</v>
      </c>
      <c r="AV16" s="10">
        <v>169.86000061035159</v>
      </c>
      <c r="AW16" s="10">
        <v>17.25</v>
      </c>
      <c r="AX16" s="10">
        <v>116.9300003051758</v>
      </c>
      <c r="AY16" s="10">
        <v>234.1199951171875</v>
      </c>
      <c r="AZ16" s="10">
        <v>233.41999816894531</v>
      </c>
      <c r="BA16" s="10">
        <v>2568.5</v>
      </c>
      <c r="BB16" s="10">
        <v>188.16999816894531</v>
      </c>
      <c r="BC16" s="10">
        <v>199.66999816894531</v>
      </c>
      <c r="BD16" s="10">
        <v>251.6300048828125</v>
      </c>
      <c r="BE16" s="10">
        <v>33.930000305175781</v>
      </c>
      <c r="BF16" s="10">
        <v>56.979999542236328</v>
      </c>
      <c r="BG16" s="10">
        <v>33.900001525878913</v>
      </c>
      <c r="BH16" s="10">
        <v>52.380001068115227</v>
      </c>
      <c r="BI16" s="10">
        <v>44.75</v>
      </c>
      <c r="BJ16" s="10">
        <v>38.849998474121087</v>
      </c>
      <c r="BK16" s="10">
        <v>245.41999816894531</v>
      </c>
      <c r="BL16" s="10">
        <v>362.45999145507813</v>
      </c>
      <c r="BM16" s="10">
        <v>77.260002136230469</v>
      </c>
      <c r="BN16" s="10">
        <v>327.989990234375</v>
      </c>
      <c r="BO16" s="10">
        <v>76.709999084472656</v>
      </c>
      <c r="BP16" s="10">
        <v>267.70999145507813</v>
      </c>
      <c r="BQ16" s="10">
        <v>800.29998779296875</v>
      </c>
      <c r="BR16" s="10">
        <v>128.27000427246091</v>
      </c>
      <c r="BS16" s="10">
        <v>251.75999450683591</v>
      </c>
      <c r="BT16" s="10">
        <v>3480.56005859375</v>
      </c>
      <c r="BU16" s="10">
        <v>35.939998626708977</v>
      </c>
      <c r="BV16" s="10">
        <v>72.099998474121094</v>
      </c>
      <c r="BW16" s="10">
        <v>57.840000152587891</v>
      </c>
      <c r="BX16" s="10">
        <v>52.759998321533203</v>
      </c>
      <c r="BY16" s="10">
        <v>1085.380004882812</v>
      </c>
      <c r="BZ16" s="10">
        <v>199.88999938964841</v>
      </c>
      <c r="CA16" s="10">
        <v>70.75</v>
      </c>
      <c r="CB16" s="10">
        <v>56.849998474121087</v>
      </c>
      <c r="CC16" s="10">
        <v>165.3800048828125</v>
      </c>
      <c r="CD16" s="10">
        <v>101.5</v>
      </c>
      <c r="CE16" s="10">
        <v>262.89999389648438</v>
      </c>
      <c r="CF16" s="10">
        <v>47.779998779296882</v>
      </c>
      <c r="CG16" s="10">
        <v>100.379997253418</v>
      </c>
      <c r="CH16" s="10">
        <v>44.740001678466797</v>
      </c>
      <c r="CI16" s="10">
        <v>132.11000061035159</v>
      </c>
      <c r="CJ16" s="10">
        <v>102.620002746582</v>
      </c>
      <c r="CK16" s="10">
        <v>76.199996948242188</v>
      </c>
      <c r="CL16" s="10">
        <v>17.29000091552734</v>
      </c>
      <c r="CM16" s="10">
        <v>56.450000762939453</v>
      </c>
      <c r="CN16" s="10">
        <v>45.049999237060547</v>
      </c>
      <c r="CO16" s="10">
        <v>292.70999145507813</v>
      </c>
      <c r="CP16" s="10">
        <v>178.19999694824219</v>
      </c>
      <c r="CQ16" s="10">
        <v>93.220001220703125</v>
      </c>
      <c r="CR16" s="10">
        <v>220.66999816894531</v>
      </c>
      <c r="CS16" s="10">
        <v>154.7200012207031</v>
      </c>
      <c r="CT16" s="10">
        <v>208.53999328613281</v>
      </c>
      <c r="CU16" s="10">
        <v>76.830001831054688</v>
      </c>
      <c r="CV16" s="10">
        <v>29.010000228881839</v>
      </c>
      <c r="CW16" s="10">
        <v>81.610000610351563</v>
      </c>
      <c r="CX16" s="10">
        <v>87.129997253417969</v>
      </c>
      <c r="CY16" s="10">
        <v>234.25</v>
      </c>
      <c r="CZ16" s="10">
        <v>69.099998474121094</v>
      </c>
      <c r="DA16" s="10">
        <v>391.510009765625</v>
      </c>
      <c r="DB16" s="10">
        <v>149.47999572753909</v>
      </c>
      <c r="DC16" s="10">
        <v>2244.75</v>
      </c>
      <c r="DD16" s="10">
        <v>227.3500061035156</v>
      </c>
      <c r="DE16" s="10">
        <v>94.569999694824219</v>
      </c>
      <c r="DF16" s="10">
        <v>310.10000610351563</v>
      </c>
      <c r="DG16" s="10">
        <v>105.879997253418</v>
      </c>
      <c r="DH16" s="10">
        <v>591.90997314453125</v>
      </c>
      <c r="DI16" s="10">
        <v>50.509998321533203</v>
      </c>
      <c r="DJ16" s="10">
        <v>53.040000915527337</v>
      </c>
      <c r="DK16" s="10">
        <v>33.509998321533203</v>
      </c>
      <c r="DL16" s="10">
        <v>144.69000244140619</v>
      </c>
      <c r="DM16" s="10">
        <v>209.22999572753909</v>
      </c>
      <c r="DN16" s="10">
        <v>59.209999084472663</v>
      </c>
      <c r="DO16" s="10">
        <v>59.819999694824219</v>
      </c>
      <c r="DP16" s="10">
        <v>74.400001525878906</v>
      </c>
      <c r="DQ16" s="10">
        <v>80.720001220703125</v>
      </c>
      <c r="DR16" s="10">
        <v>43.669998168945313</v>
      </c>
      <c r="DS16" s="10">
        <v>56.5</v>
      </c>
      <c r="DT16" s="10">
        <v>29.530000686645511</v>
      </c>
      <c r="DU16" s="10">
        <v>117.5899963378906</v>
      </c>
      <c r="DV16" s="10">
        <v>92.410003662109375</v>
      </c>
      <c r="DW16" s="10">
        <v>243.88999938964841</v>
      </c>
      <c r="DX16" s="10">
        <v>115.25</v>
      </c>
      <c r="DY16" s="10">
        <v>93.269996643066406</v>
      </c>
      <c r="DZ16" s="10">
        <v>47.509998321533203</v>
      </c>
      <c r="EA16" s="10">
        <v>30.489999771118161</v>
      </c>
      <c r="EB16" s="10">
        <v>48.560001373291023</v>
      </c>
      <c r="EC16" s="10">
        <v>85.459999084472656</v>
      </c>
      <c r="ED16" s="10">
        <v>650.6500244140625</v>
      </c>
      <c r="EE16" s="10">
        <v>25.690000534057621</v>
      </c>
      <c r="EF16" s="10">
        <v>116.620002746582</v>
      </c>
      <c r="EG16" s="10">
        <v>34.619998931884773</v>
      </c>
      <c r="EH16" s="10">
        <v>241.17999267578119</v>
      </c>
      <c r="EI16" s="10">
        <v>80.849998474121094</v>
      </c>
      <c r="EJ16" s="10">
        <v>234.78999328613281</v>
      </c>
      <c r="EK16" s="10">
        <v>162.2799987792969</v>
      </c>
      <c r="EL16" s="10">
        <v>106.88999938964839</v>
      </c>
      <c r="EM16" s="10">
        <v>66.019996643066406</v>
      </c>
      <c r="EN16" s="10">
        <v>673.97998046875</v>
      </c>
      <c r="EO16" s="10">
        <v>400.91000366210938</v>
      </c>
      <c r="EP16" s="10">
        <v>40.450000762939453</v>
      </c>
      <c r="EQ16" s="10">
        <v>35.630001068115227</v>
      </c>
      <c r="ER16" s="10">
        <v>45.840000152587891</v>
      </c>
      <c r="ES16" s="10">
        <v>123.0899963378906</v>
      </c>
      <c r="ET16" s="10">
        <v>157.00999450683591</v>
      </c>
      <c r="EU16" s="10">
        <v>135.22999572753909</v>
      </c>
      <c r="EV16" s="10">
        <v>112.3399963378906</v>
      </c>
      <c r="EW16" s="10">
        <v>140.42999267578119</v>
      </c>
      <c r="EX16" s="10">
        <v>142.53999328613281</v>
      </c>
      <c r="EY16" s="10">
        <v>48.509998321533203</v>
      </c>
      <c r="EZ16" s="10">
        <v>413.1400146484375</v>
      </c>
      <c r="FA16" s="10">
        <v>151.52000427246091</v>
      </c>
      <c r="FB16" s="10">
        <v>55.330001831054688</v>
      </c>
      <c r="FC16" s="10">
        <v>149.8800048828125</v>
      </c>
      <c r="FD16" s="10">
        <v>111.7600021362305</v>
      </c>
      <c r="FE16" s="10">
        <v>97.80999755859375</v>
      </c>
      <c r="FF16" s="10">
        <v>77.510002136230469</v>
      </c>
      <c r="FG16" s="10">
        <v>89.379997253417969</v>
      </c>
      <c r="FH16" s="10">
        <v>238.8999938964844</v>
      </c>
      <c r="FI16" s="10">
        <v>43.869998931884773</v>
      </c>
      <c r="FJ16" s="10">
        <v>198.19999694824219</v>
      </c>
      <c r="FK16" s="10">
        <v>72.339996337890625</v>
      </c>
      <c r="FL16" s="10">
        <v>75.569999694824219</v>
      </c>
      <c r="FM16" s="10">
        <v>135.7799987792969</v>
      </c>
      <c r="FN16" s="10">
        <v>478.82998657226563</v>
      </c>
      <c r="FO16" s="10">
        <v>592.20001220703125</v>
      </c>
      <c r="FP16" s="10">
        <v>95.879997253417969</v>
      </c>
      <c r="FQ16" s="10">
        <v>131.24000549316409</v>
      </c>
      <c r="FR16" s="10">
        <v>102.63999938964839</v>
      </c>
      <c r="FS16" s="10">
        <v>121.59999847412109</v>
      </c>
      <c r="FT16" s="10">
        <v>291.22000122070313</v>
      </c>
      <c r="FU16" s="10">
        <v>38.919998168945313</v>
      </c>
      <c r="FV16" s="10">
        <v>239.8699951171875</v>
      </c>
      <c r="FW16" s="10">
        <v>810.47998046875</v>
      </c>
      <c r="FX16" s="10">
        <v>62.150001525878913</v>
      </c>
      <c r="FY16" s="10">
        <v>249.8699951171875</v>
      </c>
      <c r="FZ16" s="10">
        <v>145.44999694824219</v>
      </c>
      <c r="GA16" s="10">
        <v>81.080001831054688</v>
      </c>
      <c r="GB16" s="10">
        <v>361.64999389648438</v>
      </c>
      <c r="GC16" s="10">
        <v>53.430000305175781</v>
      </c>
      <c r="GD16" s="10">
        <v>63.740001678466797</v>
      </c>
      <c r="GE16" s="10">
        <v>36.470001220703118</v>
      </c>
      <c r="GF16" s="10">
        <v>148.75999450683591</v>
      </c>
      <c r="GG16" s="10">
        <v>127.0800018310547</v>
      </c>
      <c r="GH16" s="10">
        <v>164.3999938964844</v>
      </c>
      <c r="GI16" s="10">
        <v>102.36000061035161</v>
      </c>
      <c r="GJ16" s="10">
        <v>176.24000549316409</v>
      </c>
      <c r="GK16" s="10">
        <v>462.739990234375</v>
      </c>
      <c r="GL16" s="10">
        <v>1131.160034179688</v>
      </c>
      <c r="GM16" s="10">
        <v>63.549999237060547</v>
      </c>
      <c r="GN16" s="10">
        <v>104.4700012207031</v>
      </c>
      <c r="GO16" s="10">
        <v>252.24000549316409</v>
      </c>
      <c r="GP16" s="10">
        <v>60.970001220703118</v>
      </c>
      <c r="GQ16" s="10">
        <v>34.779998779296882</v>
      </c>
      <c r="GR16" s="10">
        <v>172.1600036621094</v>
      </c>
      <c r="GS16" s="10">
        <v>37.400001525878913</v>
      </c>
      <c r="GT16" s="10">
        <v>133.08000183105469</v>
      </c>
      <c r="GU16" s="10">
        <v>281.55999755859381</v>
      </c>
      <c r="GV16" s="10">
        <v>64.839996337890625</v>
      </c>
      <c r="GW16" s="10">
        <v>12.159999847412109</v>
      </c>
      <c r="GX16" s="10">
        <v>57.779998779296882</v>
      </c>
      <c r="GY16" s="10">
        <v>72.269996643066406</v>
      </c>
      <c r="GZ16" s="10">
        <v>30.239999771118161</v>
      </c>
      <c r="HA16" s="10">
        <v>28.139999389648441</v>
      </c>
      <c r="HB16" s="10">
        <v>29.29000091552734</v>
      </c>
      <c r="HC16" s="10">
        <v>42.090000152587891</v>
      </c>
      <c r="HD16" s="10">
        <v>126.55999755859381</v>
      </c>
      <c r="HE16" s="10">
        <v>437.25</v>
      </c>
      <c r="HF16" s="10">
        <v>76.370002746582031</v>
      </c>
      <c r="HG16" s="10">
        <v>22.79000091552734</v>
      </c>
      <c r="HH16" s="10">
        <v>127.370002746582</v>
      </c>
      <c r="HI16" s="10">
        <v>258.60000610351563</v>
      </c>
      <c r="HJ16" s="10">
        <v>125.9499969482422</v>
      </c>
      <c r="HK16" s="10">
        <v>66.75</v>
      </c>
      <c r="HL16" s="10">
        <v>36.049999237060547</v>
      </c>
      <c r="HM16" s="10">
        <v>138.0899963378906</v>
      </c>
      <c r="HN16" s="10">
        <v>83.239997863769531</v>
      </c>
      <c r="HO16" s="10">
        <v>127.1699981689453</v>
      </c>
      <c r="HP16" s="10">
        <v>122.05999755859381</v>
      </c>
      <c r="HQ16" s="10">
        <v>388.29998779296881</v>
      </c>
      <c r="HR16" s="10">
        <v>36.119998931884773</v>
      </c>
      <c r="HS16" s="10">
        <v>81.400001525878906</v>
      </c>
      <c r="HT16" s="10">
        <v>49.900001525878913</v>
      </c>
      <c r="HU16" s="10">
        <v>275.32000732421881</v>
      </c>
      <c r="HV16" s="10">
        <v>20.030000686645511</v>
      </c>
      <c r="HW16" s="10">
        <v>75.55999755859375</v>
      </c>
      <c r="HX16" s="10">
        <v>192.0299987792969</v>
      </c>
      <c r="HY16" s="10">
        <v>144.7799987792969</v>
      </c>
      <c r="HZ16" s="10">
        <v>16.930000305175781</v>
      </c>
      <c r="IA16" s="10">
        <v>180.07000732421881</v>
      </c>
      <c r="IB16" s="10">
        <v>72.459999084472656</v>
      </c>
      <c r="IC16" s="10">
        <v>345.07998657226563</v>
      </c>
      <c r="ID16" s="10">
        <v>209</v>
      </c>
      <c r="IE16" s="10">
        <v>32.799999237060547</v>
      </c>
      <c r="IF16" s="10">
        <v>19.70000076293945</v>
      </c>
      <c r="IG16" s="10">
        <v>53.729999542236328</v>
      </c>
      <c r="IH16" s="10">
        <v>29.829999923706051</v>
      </c>
      <c r="II16" s="10">
        <v>325.92001342773438</v>
      </c>
      <c r="IJ16" s="10">
        <v>470.10000610351563</v>
      </c>
      <c r="IK16" s="10">
        <v>12.85999965667725</v>
      </c>
      <c r="IL16" s="10">
        <v>260.1099853515625</v>
      </c>
      <c r="IM16" s="10">
        <v>161.5</v>
      </c>
      <c r="IN16" s="10">
        <v>215.05000305175781</v>
      </c>
      <c r="IO16" s="10">
        <v>547.69000244140625</v>
      </c>
      <c r="IP16" s="10">
        <v>260.58999633789063</v>
      </c>
      <c r="IQ16" s="10">
        <v>137.61000061035159</v>
      </c>
      <c r="IR16" s="10">
        <v>65.449996948242188</v>
      </c>
      <c r="IS16" s="10">
        <v>76.730003356933594</v>
      </c>
      <c r="IT16" s="10">
        <v>209.11000061035159</v>
      </c>
      <c r="IU16" s="10">
        <v>47.799999237060547</v>
      </c>
      <c r="IV16" s="10">
        <v>126.4499969482422</v>
      </c>
      <c r="IW16" s="10">
        <v>81.419998168945313</v>
      </c>
      <c r="IX16" s="10">
        <v>36.540000915527337</v>
      </c>
      <c r="IY16" s="10">
        <v>33.099998474121087</v>
      </c>
      <c r="IZ16" s="10">
        <v>603.760009765625</v>
      </c>
      <c r="JA16" s="10">
        <v>330.98001098632813</v>
      </c>
      <c r="JB16" s="10">
        <v>17.75</v>
      </c>
      <c r="JC16" s="10">
        <v>34.619998931884773</v>
      </c>
      <c r="JD16" s="10">
        <v>230.38999938964841</v>
      </c>
      <c r="JE16" s="10">
        <v>68.629997253417969</v>
      </c>
      <c r="JF16" s="10">
        <v>195.49000549316409</v>
      </c>
      <c r="JG16" s="10">
        <v>128.13999938964841</v>
      </c>
      <c r="JH16" s="10">
        <v>164.6600036621094</v>
      </c>
      <c r="JI16" s="10">
        <v>127.9700012207031</v>
      </c>
      <c r="JJ16" s="10">
        <v>159.9700012207031</v>
      </c>
      <c r="JK16" s="10">
        <v>57.080001831054688</v>
      </c>
      <c r="JL16" s="10">
        <v>172.08000183105469</v>
      </c>
      <c r="JM16" s="10">
        <v>29.340000152587891</v>
      </c>
      <c r="JN16" s="10">
        <v>57.759998321533203</v>
      </c>
      <c r="JO16" s="10">
        <v>33.369998931884773</v>
      </c>
      <c r="JP16" s="10">
        <v>14.60999965667725</v>
      </c>
      <c r="JQ16" s="10">
        <v>155.49000549316409</v>
      </c>
      <c r="JR16" s="10">
        <v>122.36000061035161</v>
      </c>
      <c r="JS16" s="10">
        <v>21.280000686645511</v>
      </c>
      <c r="JT16" s="10">
        <v>17.829999923706051</v>
      </c>
      <c r="JU16" s="10">
        <v>560.3900146484375</v>
      </c>
      <c r="JV16" s="10">
        <v>38.119998931884773</v>
      </c>
      <c r="JW16" s="10">
        <v>46.270000457763672</v>
      </c>
      <c r="JX16" s="10">
        <v>209.7799987792969</v>
      </c>
      <c r="JY16" s="10">
        <v>232.55999755859381</v>
      </c>
      <c r="JZ16" s="10">
        <v>749.29998779296875</v>
      </c>
      <c r="KA16" s="10">
        <v>106.55999755859381</v>
      </c>
      <c r="KB16" s="10">
        <v>51.330001831054688</v>
      </c>
      <c r="KC16" s="10">
        <v>108</v>
      </c>
      <c r="KD16" s="10">
        <v>147.46000671386719</v>
      </c>
      <c r="KE16" s="10">
        <v>409.57998657226563</v>
      </c>
      <c r="KF16" s="10">
        <v>91.80999755859375</v>
      </c>
      <c r="KG16" s="10">
        <v>456.1199951171875</v>
      </c>
      <c r="KH16" s="10">
        <v>70.459999084472656</v>
      </c>
      <c r="KI16" s="10">
        <v>218.6499938964844</v>
      </c>
      <c r="KJ16" s="10">
        <v>505.3800048828125</v>
      </c>
      <c r="KK16" s="10">
        <v>96.580001831054688</v>
      </c>
      <c r="KL16" s="10">
        <v>139.0299987792969</v>
      </c>
      <c r="KM16" s="10">
        <v>24.420000076293949</v>
      </c>
      <c r="KN16" s="10">
        <v>152.36000061035159</v>
      </c>
      <c r="KO16" s="10">
        <v>286.45001220703119</v>
      </c>
      <c r="KP16" s="10">
        <v>221.8399963378906</v>
      </c>
      <c r="KQ16" s="10">
        <v>190.16999816894531</v>
      </c>
      <c r="KR16" s="10">
        <v>491.02999877929688</v>
      </c>
      <c r="KS16" s="10">
        <v>66.569999694824219</v>
      </c>
      <c r="KT16" s="10">
        <v>421.8900146484375</v>
      </c>
      <c r="KU16" s="10">
        <v>36.409999847412109</v>
      </c>
      <c r="KV16" s="10">
        <v>69.540000915527344</v>
      </c>
      <c r="KW16" s="10">
        <v>297.04000854492188</v>
      </c>
      <c r="KX16" s="10">
        <v>473.42001342773438</v>
      </c>
      <c r="KY16" s="10">
        <v>82.839996337890625</v>
      </c>
      <c r="KZ16" s="10">
        <v>113.2399978637695</v>
      </c>
      <c r="LA16" s="10">
        <v>346.29000854492188</v>
      </c>
      <c r="LB16" s="10">
        <v>67.349998474121094</v>
      </c>
      <c r="LC16" s="10">
        <v>1214.18994140625</v>
      </c>
      <c r="LD16" s="10">
        <v>45.479999542236328</v>
      </c>
      <c r="LE16" s="10">
        <v>86.55999755859375</v>
      </c>
      <c r="LF16" s="10">
        <v>82.339996337890625</v>
      </c>
      <c r="LG16" s="10">
        <v>370.8699951171875</v>
      </c>
      <c r="LH16" s="10">
        <v>135.8399963378906</v>
      </c>
      <c r="LI16" s="10">
        <v>112.5</v>
      </c>
      <c r="LJ16" s="10">
        <v>105.2799987792969</v>
      </c>
      <c r="LK16" s="10">
        <v>371.52999877929688</v>
      </c>
      <c r="LL16" s="10">
        <v>62.069999694824219</v>
      </c>
      <c r="LM16" s="10">
        <v>73.839996337890625</v>
      </c>
      <c r="LN16" s="10">
        <v>604</v>
      </c>
      <c r="LO16" s="10">
        <v>58.590000152587891</v>
      </c>
      <c r="LP16" s="10">
        <v>381.80999755859381</v>
      </c>
      <c r="LQ16" s="10">
        <v>93.900001525878906</v>
      </c>
      <c r="LR16" s="10">
        <v>36.479999542236328</v>
      </c>
      <c r="LS16" s="10">
        <v>311.6400146484375</v>
      </c>
      <c r="LT16" s="10">
        <v>555.79998779296875</v>
      </c>
      <c r="LU16" s="10">
        <v>56.900001525878913</v>
      </c>
      <c r="LV16" s="10">
        <v>86.209999084472656</v>
      </c>
      <c r="LW16" s="10">
        <v>468.5</v>
      </c>
      <c r="LX16" s="10">
        <v>40.909999847412109</v>
      </c>
      <c r="LY16" s="10">
        <v>24.420000076293949</v>
      </c>
      <c r="LZ16" s="10">
        <v>25.610000610351559</v>
      </c>
      <c r="MA16" s="10">
        <v>61.569999694824219</v>
      </c>
      <c r="MB16" s="10">
        <v>106.5500030517578</v>
      </c>
      <c r="MC16" s="10">
        <v>27.010000228881839</v>
      </c>
      <c r="MD16" s="10">
        <v>258.64999389648438</v>
      </c>
      <c r="ME16" s="10">
        <v>235.6600036621094</v>
      </c>
      <c r="MF16" s="10">
        <v>84.870002746582031</v>
      </c>
      <c r="MG16" s="10">
        <v>470.08999633789063</v>
      </c>
      <c r="MH16" s="10">
        <v>18.319999694824219</v>
      </c>
      <c r="MI16" s="10">
        <v>51.25</v>
      </c>
      <c r="MJ16" s="10">
        <v>175.42999267578119</v>
      </c>
      <c r="MK16" s="10">
        <v>481.67999267578119</v>
      </c>
      <c r="ML16" s="10">
        <v>6969</v>
      </c>
      <c r="MM16" s="10">
        <v>221.17999267578119</v>
      </c>
      <c r="MN16" s="10">
        <v>944.97998046875</v>
      </c>
      <c r="MO16" s="10">
        <v>60.049999237060547</v>
      </c>
      <c r="MP16" s="10">
        <v>397.739990234375</v>
      </c>
      <c r="MQ16" s="10">
        <v>87.25</v>
      </c>
      <c r="MR16" s="10">
        <v>81.449996948242188</v>
      </c>
      <c r="MS16" s="10">
        <v>71.019996643066406</v>
      </c>
      <c r="MT16" s="10">
        <v>104.05999755859381</v>
      </c>
      <c r="MU16" s="10">
        <v>88.430000305175781</v>
      </c>
      <c r="MV16" s="10">
        <v>96.779998779296875</v>
      </c>
      <c r="MW16" s="10">
        <v>163.88999938964841</v>
      </c>
      <c r="MX16" s="10">
        <v>288.92001342773438</v>
      </c>
      <c r="MY16" s="10">
        <v>14.39999961853027</v>
      </c>
      <c r="MZ16" s="10">
        <v>458.6099853515625</v>
      </c>
      <c r="NA16" s="10">
        <v>117.870002746582</v>
      </c>
      <c r="NB16" s="10">
        <v>204.6000061035156</v>
      </c>
      <c r="NC16" s="10">
        <v>61.459999084472663</v>
      </c>
      <c r="ND16" s="10">
        <v>70.919998168945313</v>
      </c>
      <c r="NE16" s="10">
        <v>172.9100036621094</v>
      </c>
      <c r="NF16" s="10">
        <v>29.729999542236332</v>
      </c>
      <c r="NG16" s="10">
        <v>18.04999923706055</v>
      </c>
      <c r="NH16" s="10">
        <v>95.55999755859375</v>
      </c>
      <c r="NI16" s="10">
        <v>134.28999328613281</v>
      </c>
      <c r="NJ16" s="10">
        <v>73.209999084472656</v>
      </c>
      <c r="NK16" s="10">
        <v>230.2799987792969</v>
      </c>
      <c r="NL16" s="10">
        <v>156.5</v>
      </c>
      <c r="NM16" s="10">
        <v>388.14999389648438</v>
      </c>
      <c r="NN16" s="10">
        <v>147.2799987792969</v>
      </c>
      <c r="NO16" s="10">
        <v>27.510000228881839</v>
      </c>
      <c r="NP16" s="10">
        <v>79.110000610351563</v>
      </c>
      <c r="NQ16" s="10">
        <v>161.6300048828125</v>
      </c>
      <c r="NR16" s="10">
        <v>134.6199951171875</v>
      </c>
      <c r="NS16" s="10">
        <v>104.5699996948242</v>
      </c>
      <c r="NT16" s="10">
        <v>61.540000915527337</v>
      </c>
      <c r="NU16" s="10">
        <v>168.6300048828125</v>
      </c>
      <c r="NV16" s="10">
        <v>311.82998657226563</v>
      </c>
      <c r="NW16" s="10">
        <v>101.5500030517578</v>
      </c>
      <c r="NX16" s="10">
        <v>108.9100036621094</v>
      </c>
      <c r="NY16" s="10">
        <v>209.27000427246091</v>
      </c>
      <c r="NZ16" s="10">
        <v>140.22999572753909</v>
      </c>
      <c r="OA16" s="10">
        <v>140.82000732421881</v>
      </c>
      <c r="OB16" s="10">
        <v>146.0299987792969</v>
      </c>
      <c r="OC16" s="10">
        <v>112.3000030517578</v>
      </c>
      <c r="OD16" s="10">
        <v>85.220001220703125</v>
      </c>
      <c r="OE16" s="10">
        <v>58.569999694824219</v>
      </c>
      <c r="OF16" s="10">
        <v>67.730003356933594</v>
      </c>
      <c r="OG16" s="10">
        <v>19.5</v>
      </c>
      <c r="OH16" s="10">
        <v>164.94000244140619</v>
      </c>
      <c r="OI16" s="10">
        <v>171.7799987792969</v>
      </c>
      <c r="OJ16" s="10">
        <v>110.4300003051758</v>
      </c>
      <c r="OK16" s="10">
        <v>86.110000610351563</v>
      </c>
      <c r="OL16" s="10">
        <v>306.3800048828125</v>
      </c>
      <c r="OM16" s="10">
        <v>43.270000457763672</v>
      </c>
      <c r="ON16" s="10">
        <v>534.489990234375</v>
      </c>
      <c r="OO16" s="10">
        <v>137.67999267578119</v>
      </c>
      <c r="OP16" s="10">
        <v>120.13999938964839</v>
      </c>
      <c r="OQ16" s="10">
        <v>436.3900146484375</v>
      </c>
      <c r="OR16" s="10">
        <v>256.1300048828125</v>
      </c>
      <c r="OS16" s="10">
        <v>254.97999572753909</v>
      </c>
      <c r="OT16" s="10">
        <v>51.979999542236328</v>
      </c>
      <c r="OU16" s="10">
        <v>82.69000244140625</v>
      </c>
      <c r="OV16" s="10">
        <v>75.819999694824219</v>
      </c>
      <c r="OW16" s="10">
        <v>687.52001953125</v>
      </c>
      <c r="OX16" s="10">
        <v>304.91000366210938</v>
      </c>
      <c r="OY16" s="10">
        <v>143.0299987792969</v>
      </c>
      <c r="OZ16" s="10">
        <v>109.11000061035161</v>
      </c>
      <c r="PA16" s="10">
        <v>129.57000732421881</v>
      </c>
      <c r="PB16" s="10">
        <v>288.739990234375</v>
      </c>
      <c r="PC16" s="10">
        <v>70.849998474121094</v>
      </c>
      <c r="PD16" s="10">
        <v>28.479999542236332</v>
      </c>
      <c r="PE16" s="10">
        <v>98.199996948242188</v>
      </c>
      <c r="PF16" s="10">
        <v>93.669998168945313</v>
      </c>
      <c r="PG16" s="10">
        <v>77.75</v>
      </c>
      <c r="PH16" s="10">
        <v>118.9100036621094</v>
      </c>
      <c r="PI16" s="10">
        <v>217.08000183105469</v>
      </c>
      <c r="PJ16" s="10">
        <v>296.23001098632813</v>
      </c>
      <c r="PK16" s="10">
        <v>285.45001220703119</v>
      </c>
      <c r="PL16" s="10">
        <v>498.97000122070313</v>
      </c>
      <c r="PM16" s="10">
        <v>74.419998168945313</v>
      </c>
      <c r="PN16" s="10">
        <v>161.9100036621094</v>
      </c>
      <c r="PO16" s="10">
        <v>107.9100036621094</v>
      </c>
      <c r="PP16" s="10">
        <v>159.25999450683591</v>
      </c>
      <c r="PQ16" s="10">
        <v>38.169998168945313</v>
      </c>
      <c r="PR16" s="10">
        <v>86.419998168945313</v>
      </c>
      <c r="PS16" s="10">
        <v>143.1000061035156</v>
      </c>
      <c r="PT16" s="10">
        <v>138.91999816894531</v>
      </c>
      <c r="PU16" s="10">
        <v>438.29998779296881</v>
      </c>
      <c r="PV16" s="10">
        <v>250.44000244140619</v>
      </c>
      <c r="PW16" s="10">
        <v>104.76999664306641</v>
      </c>
      <c r="PX16" s="10">
        <v>248.41999816894531</v>
      </c>
      <c r="PY16" s="10">
        <v>169.25999450683591</v>
      </c>
      <c r="PZ16" s="10">
        <v>80.430000305175781</v>
      </c>
      <c r="QA16" s="10">
        <v>544.1500244140625</v>
      </c>
      <c r="QB16" s="10">
        <v>93.279998779296875</v>
      </c>
      <c r="QC16" s="10">
        <v>216.57000732421881</v>
      </c>
      <c r="QD16" s="10">
        <v>240.6300048828125</v>
      </c>
      <c r="QE16" s="10">
        <v>992.20001220703125</v>
      </c>
      <c r="QF16" s="10">
        <v>191.41999816894531</v>
      </c>
      <c r="QG16" s="10">
        <v>52.450000762939453</v>
      </c>
      <c r="QH16" s="10">
        <v>37.509998321533203</v>
      </c>
      <c r="QI16" s="10">
        <v>408.20001220703119</v>
      </c>
      <c r="QJ16" s="10">
        <v>55.529998779296882</v>
      </c>
      <c r="QK16" s="10">
        <v>43.909999847412109</v>
      </c>
      <c r="QL16" s="10">
        <v>58.380001068115227</v>
      </c>
      <c r="QM16" s="10">
        <v>38.639999389648438</v>
      </c>
      <c r="QN16" s="10">
        <v>486.6099853515625</v>
      </c>
      <c r="QO16" s="10">
        <v>243.42999267578119</v>
      </c>
      <c r="QP16" s="10">
        <v>40.720001220703118</v>
      </c>
      <c r="QQ16" s="10">
        <v>158.3399963378906</v>
      </c>
      <c r="QR16" s="10">
        <v>567.0999755859375</v>
      </c>
      <c r="QS16" s="10">
        <v>539.34002685546875</v>
      </c>
      <c r="QT16" s="10">
        <v>156.4100036621094</v>
      </c>
      <c r="QU16" s="10">
        <v>130.6600036621094</v>
      </c>
      <c r="QV16" s="10">
        <v>50.569999694824219</v>
      </c>
      <c r="QW16" s="10">
        <v>201.55999755859381</v>
      </c>
      <c r="QX16" s="10">
        <v>237.97999572753909</v>
      </c>
      <c r="QY16" s="10">
        <v>38.880001068115227</v>
      </c>
      <c r="QZ16" s="10">
        <v>410.91000366210938</v>
      </c>
      <c r="RA16" s="10">
        <v>18.64999961853027</v>
      </c>
      <c r="RB16" s="10">
        <v>11.39000034332275</v>
      </c>
      <c r="RC16" s="10">
        <v>32.659999847412109</v>
      </c>
      <c r="RD16" s="10">
        <v>258.8699951171875</v>
      </c>
      <c r="RE16" s="10">
        <v>223.6000061035156</v>
      </c>
      <c r="RF16" s="10">
        <v>72.150001525878906</v>
      </c>
      <c r="RG16" s="10">
        <v>125.88999938964839</v>
      </c>
      <c r="RH16" s="10">
        <v>26.64999961853027</v>
      </c>
      <c r="RI16" s="10">
        <v>53.096668243408203</v>
      </c>
      <c r="RJ16" s="10">
        <v>90.709999084472656</v>
      </c>
      <c r="RK16" s="10">
        <v>11.659999847412109</v>
      </c>
      <c r="RL16" s="10">
        <v>179.61000061035159</v>
      </c>
      <c r="RM16" s="10">
        <v>328.6199951171875</v>
      </c>
      <c r="RN16" s="10">
        <v>86.319999694824219</v>
      </c>
      <c r="RO16" s="10">
        <v>49.330001831054688</v>
      </c>
      <c r="RP16" s="10">
        <v>90.239997863769531</v>
      </c>
      <c r="RQ16" s="10">
        <v>348.69000244140619</v>
      </c>
      <c r="RR16" s="10">
        <v>50.860000610351563</v>
      </c>
      <c r="RS16" s="10">
        <v>41.779998779296882</v>
      </c>
      <c r="RT16" s="10">
        <v>34.790000915527337</v>
      </c>
      <c r="RU16" s="10">
        <v>35.520000457763672</v>
      </c>
      <c r="RV16" s="10">
        <v>239.94999694824219</v>
      </c>
      <c r="RW16" s="10">
        <v>813.239990234375</v>
      </c>
      <c r="RX16" s="10">
        <v>94.599998474121094</v>
      </c>
      <c r="RY16" s="10">
        <v>63.470001220703118</v>
      </c>
      <c r="RZ16" s="10">
        <v>113.6699981689453</v>
      </c>
      <c r="SA16" s="10">
        <v>129.0299987792969</v>
      </c>
      <c r="SB16" s="10">
        <v>267.98001098632813</v>
      </c>
      <c r="SC16" s="10">
        <v>121.38999938964839</v>
      </c>
      <c r="SD16" s="10">
        <v>196.57000732421881</v>
      </c>
    </row>
    <row r="17" spans="1:498" x14ac:dyDescent="0.25">
      <c r="A17" s="14">
        <v>45323</v>
      </c>
      <c r="B17" s="11">
        <v>95.910003662109375</v>
      </c>
      <c r="C17" s="11">
        <v>79.569999694824219</v>
      </c>
      <c r="D17" s="11">
        <v>114.4899978637695</v>
      </c>
      <c r="E17" s="11">
        <v>167.5899963378906</v>
      </c>
      <c r="F17" s="11">
        <v>370.91000366210938</v>
      </c>
      <c r="G17" s="11">
        <v>627.90997314453125</v>
      </c>
      <c r="H17" s="11">
        <v>170.47999572753909</v>
      </c>
      <c r="I17" s="11">
        <v>17.159999847412109</v>
      </c>
      <c r="J17" s="11">
        <v>76.199996948242188</v>
      </c>
      <c r="K17" s="11">
        <v>133.05000305175781</v>
      </c>
      <c r="L17" s="11">
        <v>259.55999755859381</v>
      </c>
      <c r="M17" s="11">
        <v>146.49000549316409</v>
      </c>
      <c r="N17" s="11">
        <v>124.0400009155273</v>
      </c>
      <c r="O17" s="11">
        <v>116.7799987792969</v>
      </c>
      <c r="P17" s="11">
        <v>122.4700012207031</v>
      </c>
      <c r="Q17" s="11">
        <v>273.3800048828125</v>
      </c>
      <c r="R17" s="11">
        <v>127.23000335693359</v>
      </c>
      <c r="S17" s="11">
        <v>49.840000152587891</v>
      </c>
      <c r="T17" s="11">
        <v>156.19000244140619</v>
      </c>
      <c r="U17" s="11">
        <v>141.1600036621094</v>
      </c>
      <c r="V17" s="11">
        <v>142.71000671386719</v>
      </c>
      <c r="W17" s="11">
        <v>41.720001220703118</v>
      </c>
      <c r="X17" s="11">
        <v>159.2799987792969</v>
      </c>
      <c r="Y17" s="11">
        <v>9.4600000381469727</v>
      </c>
      <c r="Z17" s="11">
        <v>70.699996948242188</v>
      </c>
      <c r="AA17" s="11">
        <v>14.340000152587891</v>
      </c>
      <c r="AB17" s="11">
        <v>79.69000244140625</v>
      </c>
      <c r="AC17" s="11">
        <v>203.2200012207031</v>
      </c>
      <c r="AD17" s="11">
        <v>68.819999694824219</v>
      </c>
      <c r="AE17" s="11">
        <v>198.38999938964841</v>
      </c>
      <c r="AF17" s="11">
        <v>125.2399978637695</v>
      </c>
      <c r="AG17" s="11">
        <v>386.01998901367188</v>
      </c>
      <c r="AH17" s="11">
        <v>165.8699951171875</v>
      </c>
      <c r="AI17" s="11">
        <v>324.55999755859381</v>
      </c>
      <c r="AJ17" s="11">
        <v>102.4199981689453</v>
      </c>
      <c r="AK17" s="11">
        <v>192.00999450683591</v>
      </c>
      <c r="AL17" s="11">
        <v>332.66000366210938</v>
      </c>
      <c r="AM17" s="11">
        <v>300</v>
      </c>
      <c r="AN17" s="11">
        <v>30.79999923706055</v>
      </c>
      <c r="AO17" s="11">
        <v>186.86000061035159</v>
      </c>
      <c r="AP17" s="11">
        <v>166.9700012207031</v>
      </c>
      <c r="AQ17" s="11">
        <v>83.5</v>
      </c>
      <c r="AR17" s="11">
        <v>82.089996337890625</v>
      </c>
      <c r="AS17" s="11">
        <v>56.759998321533203</v>
      </c>
      <c r="AT17" s="11">
        <v>262.98001098632813</v>
      </c>
      <c r="AU17" s="11">
        <v>232.1199951171875</v>
      </c>
      <c r="AV17" s="11">
        <v>169.30000305175781</v>
      </c>
      <c r="AW17" s="11">
        <v>18.04000091552734</v>
      </c>
      <c r="AX17" s="11">
        <v>115.7900009155273</v>
      </c>
      <c r="AY17" s="11">
        <v>255.07000732421881</v>
      </c>
      <c r="AZ17" s="11">
        <v>247.08000183105469</v>
      </c>
      <c r="BA17" s="11">
        <v>2798.14990234375</v>
      </c>
      <c r="BB17" s="11">
        <v>178.1499938964844</v>
      </c>
      <c r="BC17" s="11">
        <v>199.46000671386719</v>
      </c>
      <c r="BD17" s="11">
        <v>252.69999694824219</v>
      </c>
      <c r="BE17" s="11">
        <v>28.629999160766602</v>
      </c>
      <c r="BF17" s="11">
        <v>59.409999847412109</v>
      </c>
      <c r="BG17" s="11">
        <v>33.549999237060547</v>
      </c>
      <c r="BH17" s="11">
        <v>55.5</v>
      </c>
      <c r="BI17" s="11">
        <v>43.509998321533203</v>
      </c>
      <c r="BJ17" s="11">
        <v>39.189998626708977</v>
      </c>
      <c r="BK17" s="11">
        <v>242.3500061035156</v>
      </c>
      <c r="BL17" s="11">
        <v>386.44000244140619</v>
      </c>
      <c r="BM17" s="11">
        <v>75.239997863769531</v>
      </c>
      <c r="BN17" s="11">
        <v>328.95999145507813</v>
      </c>
      <c r="BO17" s="11">
        <v>68.540000915527344</v>
      </c>
      <c r="BP17" s="11">
        <v>247.83000183105469</v>
      </c>
      <c r="BQ17" s="11">
        <v>784.92999267578125</v>
      </c>
      <c r="BR17" s="11">
        <v>124.3000030517578</v>
      </c>
      <c r="BS17" s="11">
        <v>209.80999755859381</v>
      </c>
      <c r="BT17" s="11">
        <v>3558.449951171875</v>
      </c>
      <c r="BU17" s="11">
        <v>34.479999542236328</v>
      </c>
      <c r="BV17" s="11">
        <v>65.290000915527344</v>
      </c>
      <c r="BW17" s="11">
        <v>64.819999694824219</v>
      </c>
      <c r="BX17" s="11">
        <v>48.669998168945313</v>
      </c>
      <c r="BY17" s="11">
        <v>1200.010009765625</v>
      </c>
      <c r="BZ17" s="11">
        <v>201.6300048828125</v>
      </c>
      <c r="CA17" s="11">
        <v>77.790000915527344</v>
      </c>
      <c r="CB17" s="11">
        <v>57.029998779296882</v>
      </c>
      <c r="CC17" s="11">
        <v>179.02000427246091</v>
      </c>
      <c r="CD17" s="11">
        <v>90.400001525878906</v>
      </c>
      <c r="CE17" s="11">
        <v>290.51998901367188</v>
      </c>
      <c r="CF17" s="11">
        <v>44</v>
      </c>
      <c r="CG17" s="11">
        <v>95.550003051757813</v>
      </c>
      <c r="CH17" s="11">
        <v>45.200000762939453</v>
      </c>
      <c r="CI17" s="11">
        <v>134.55999755859381</v>
      </c>
      <c r="CJ17" s="11">
        <v>105.09999847412109</v>
      </c>
      <c r="CK17" s="11">
        <v>72.839996337890625</v>
      </c>
      <c r="CL17" s="11">
        <v>16.79999923706055</v>
      </c>
      <c r="CM17" s="11">
        <v>55.590000152587891</v>
      </c>
      <c r="CN17" s="11">
        <v>53.090000152587891</v>
      </c>
      <c r="CO17" s="11">
        <v>307.69000244140619</v>
      </c>
      <c r="CP17" s="11">
        <v>184.72999572753909</v>
      </c>
      <c r="CQ17" s="11">
        <v>86.19000244140625</v>
      </c>
      <c r="CR17" s="11">
        <v>230.08000183105469</v>
      </c>
      <c r="CS17" s="11">
        <v>147.8999938964844</v>
      </c>
      <c r="CT17" s="11">
        <v>236.91999816894531</v>
      </c>
      <c r="CU17" s="11">
        <v>75.300003051757813</v>
      </c>
      <c r="CV17" s="11">
        <v>28.379999160766602</v>
      </c>
      <c r="CW17" s="11">
        <v>76.839996337890625</v>
      </c>
      <c r="CX17" s="11">
        <v>73.5</v>
      </c>
      <c r="CY17" s="11">
        <v>219.53999328613281</v>
      </c>
      <c r="CZ17" s="11">
        <v>62.270000457763672</v>
      </c>
      <c r="DA17" s="11">
        <v>382.33999633789063</v>
      </c>
      <c r="DB17" s="11">
        <v>147.88999938964841</v>
      </c>
      <c r="DC17" s="11">
        <v>2442.02001953125</v>
      </c>
      <c r="DD17" s="11">
        <v>244.94999694824219</v>
      </c>
      <c r="DE17" s="11">
        <v>101.7799987792969</v>
      </c>
      <c r="DF17" s="11">
        <v>307.32000732421881</v>
      </c>
      <c r="DG17" s="11">
        <v>110.5699996948242</v>
      </c>
      <c r="DH17" s="11">
        <v>617.53997802734375</v>
      </c>
      <c r="DI17" s="11">
        <v>50.180000305175781</v>
      </c>
      <c r="DJ17" s="11">
        <v>56.060001373291023</v>
      </c>
      <c r="DK17" s="11">
        <v>31.180000305175781</v>
      </c>
      <c r="DL17" s="11">
        <v>148.03999328613281</v>
      </c>
      <c r="DM17" s="11">
        <v>205.78999328613281</v>
      </c>
      <c r="DN17" s="11">
        <v>58.840000152587891</v>
      </c>
      <c r="DO17" s="11">
        <v>60.979999542236328</v>
      </c>
      <c r="DP17" s="11">
        <v>77.879997253417969</v>
      </c>
      <c r="DQ17" s="11">
        <v>86.120002746582031</v>
      </c>
      <c r="DR17" s="11">
        <v>46.729999542236328</v>
      </c>
      <c r="DS17" s="11">
        <v>51.060001373291023</v>
      </c>
      <c r="DT17" s="11">
        <v>29.64999961853027</v>
      </c>
      <c r="DU17" s="11">
        <v>111.379997253418</v>
      </c>
      <c r="DV17" s="11">
        <v>92.779998779296875</v>
      </c>
      <c r="DW17" s="11">
        <v>252.67999267578119</v>
      </c>
      <c r="DX17" s="11">
        <v>127.629997253418</v>
      </c>
      <c r="DY17" s="11">
        <v>95.379997253417969</v>
      </c>
      <c r="DZ17" s="11">
        <v>49.200000762939453</v>
      </c>
      <c r="EA17" s="11">
        <v>32.090000152587891</v>
      </c>
      <c r="EB17" s="11">
        <v>54.060001373291023</v>
      </c>
      <c r="EC17" s="11">
        <v>84.599998474121094</v>
      </c>
      <c r="ED17" s="11">
        <v>704.47998046875</v>
      </c>
      <c r="EE17" s="11">
        <v>24.620000839233398</v>
      </c>
      <c r="EF17" s="11">
        <v>111.05999755859381</v>
      </c>
      <c r="EG17" s="11">
        <v>36.279998779296882</v>
      </c>
      <c r="EH17" s="11">
        <v>242.9700012207031</v>
      </c>
      <c r="EI17" s="11">
        <v>73.919998168945313</v>
      </c>
      <c r="EJ17" s="11">
        <v>245.1300048828125</v>
      </c>
      <c r="EK17" s="11">
        <v>167.22999572753909</v>
      </c>
      <c r="EL17" s="11">
        <v>112.23000335693359</v>
      </c>
      <c r="EM17" s="11">
        <v>69.94000244140625</v>
      </c>
      <c r="EN17" s="11">
        <v>772.8499755859375</v>
      </c>
      <c r="EO17" s="11">
        <v>393.67999267578119</v>
      </c>
      <c r="EP17" s="11">
        <v>39.759998321533203</v>
      </c>
      <c r="EQ17" s="11">
        <v>34.700000762939453</v>
      </c>
      <c r="ER17" s="11">
        <v>41.799999237060547</v>
      </c>
      <c r="ES17" s="11">
        <v>122.59999847412109</v>
      </c>
      <c r="ET17" s="11">
        <v>152.7200012207031</v>
      </c>
      <c r="EU17" s="11">
        <v>143.8500061035156</v>
      </c>
      <c r="EV17" s="11">
        <v>106.55999755859381</v>
      </c>
      <c r="EW17" s="11">
        <v>136.02000427246091</v>
      </c>
      <c r="EX17" s="11">
        <v>135.6300048828125</v>
      </c>
      <c r="EY17" s="11">
        <v>46.680000305175781</v>
      </c>
      <c r="EZ17" s="11">
        <v>433.52999877929688</v>
      </c>
      <c r="FA17" s="11">
        <v>156.55000305175781</v>
      </c>
      <c r="FB17" s="11">
        <v>53.540000915527337</v>
      </c>
      <c r="FC17" s="11">
        <v>147.33000183105469</v>
      </c>
      <c r="FD17" s="11">
        <v>107.4700012207031</v>
      </c>
      <c r="FE17" s="11">
        <v>97.790000915527344</v>
      </c>
      <c r="FF17" s="11">
        <v>61.959999084472663</v>
      </c>
      <c r="FG17" s="11">
        <v>84.860000610351563</v>
      </c>
      <c r="FH17" s="11">
        <v>264.57000732421881</v>
      </c>
      <c r="FI17" s="11">
        <v>41.700000762939453</v>
      </c>
      <c r="FJ17" s="11">
        <v>200.0299987792969</v>
      </c>
      <c r="FK17" s="11">
        <v>68.290000915527344</v>
      </c>
      <c r="FL17" s="11">
        <v>78.709999084472656</v>
      </c>
      <c r="FM17" s="11">
        <v>137.91999816894531</v>
      </c>
      <c r="FN17" s="11">
        <v>495.42999267578119</v>
      </c>
      <c r="FO17" s="11">
        <v>660.42999267578125</v>
      </c>
      <c r="FP17" s="11">
        <v>93.760002136230469</v>
      </c>
      <c r="FQ17" s="11">
        <v>105.44000244140619</v>
      </c>
      <c r="FR17" s="11">
        <v>101.9899978637695</v>
      </c>
      <c r="FS17" s="11">
        <v>112.59999847412109</v>
      </c>
      <c r="FT17" s="11">
        <v>285.57998657226563</v>
      </c>
      <c r="FU17" s="11">
        <v>35.060001373291023</v>
      </c>
      <c r="FV17" s="11">
        <v>250.33000183105469</v>
      </c>
      <c r="FW17" s="11">
        <v>846.33001708984375</v>
      </c>
      <c r="FX17" s="11">
        <v>60.959999084472663</v>
      </c>
      <c r="FY17" s="11">
        <v>237.6000061035156</v>
      </c>
      <c r="FZ17" s="11">
        <v>134.69999694824219</v>
      </c>
      <c r="GA17" s="11">
        <v>72.620002746582031</v>
      </c>
      <c r="GB17" s="11">
        <v>378.41000366210938</v>
      </c>
      <c r="GC17" s="11">
        <v>51.75</v>
      </c>
      <c r="GD17" s="11">
        <v>55.959999084472663</v>
      </c>
      <c r="GE17" s="11">
        <v>35.020000457763672</v>
      </c>
      <c r="GF17" s="11">
        <v>151.52000427246091</v>
      </c>
      <c r="GG17" s="11">
        <v>123.69000244140619</v>
      </c>
      <c r="GH17" s="11">
        <v>146.07000732421881</v>
      </c>
      <c r="GI17" s="11">
        <v>102.38999938964839</v>
      </c>
      <c r="GJ17" s="11">
        <v>185.86000061035159</v>
      </c>
      <c r="GK17" s="11">
        <v>484.57000732421881</v>
      </c>
      <c r="GL17" s="11">
        <v>1243.170043945312</v>
      </c>
      <c r="GM17" s="11">
        <v>69.839996337890625</v>
      </c>
      <c r="GN17" s="11">
        <v>103.2399978637695</v>
      </c>
      <c r="GO17" s="11">
        <v>241.94999694824219</v>
      </c>
      <c r="GP17" s="11">
        <v>62.869998931884773</v>
      </c>
      <c r="GQ17" s="11">
        <v>33.779998779296882</v>
      </c>
      <c r="GR17" s="11">
        <v>147.88999938964841</v>
      </c>
      <c r="GS17" s="11">
        <v>37.319999694824219</v>
      </c>
      <c r="GT17" s="11">
        <v>143.94000244140619</v>
      </c>
      <c r="GU17" s="11">
        <v>294.54998779296881</v>
      </c>
      <c r="GV17" s="11">
        <v>62.139999389648438</v>
      </c>
      <c r="GW17" s="11">
        <v>12.10000038146973</v>
      </c>
      <c r="GX17" s="11">
        <v>66.449996948242188</v>
      </c>
      <c r="GY17" s="11">
        <v>82.230003356933594</v>
      </c>
      <c r="GZ17" s="11">
        <v>32.409999847412109</v>
      </c>
      <c r="HA17" s="11">
        <v>30.120000839233398</v>
      </c>
      <c r="HB17" s="11">
        <v>27.04999923706055</v>
      </c>
      <c r="HC17" s="11">
        <v>40.180000305175781</v>
      </c>
      <c r="HD17" s="11">
        <v>121.0100021362305</v>
      </c>
      <c r="HE17" s="11">
        <v>467.010009765625</v>
      </c>
      <c r="HF17" s="11">
        <v>74.349998474121094</v>
      </c>
      <c r="HG17" s="11">
        <v>23.920000076293949</v>
      </c>
      <c r="HH17" s="11">
        <v>115.3300018310547</v>
      </c>
      <c r="HI17" s="11">
        <v>266.8699951171875</v>
      </c>
      <c r="HJ17" s="11">
        <v>135.4100036621094</v>
      </c>
      <c r="HK17" s="11">
        <v>64.830001831054688</v>
      </c>
      <c r="HL17" s="11">
        <v>38.869998931884773</v>
      </c>
      <c r="HM17" s="11">
        <v>142.66999816894531</v>
      </c>
      <c r="HN17" s="11">
        <v>78.160003662109375</v>
      </c>
      <c r="HO17" s="11">
        <v>135.30999755859381</v>
      </c>
      <c r="HP17" s="11">
        <v>120.0500030517578</v>
      </c>
      <c r="HQ17" s="11">
        <v>383.85000610351563</v>
      </c>
      <c r="HR17" s="11">
        <v>35.430000305175781</v>
      </c>
      <c r="HS17" s="11">
        <v>87.069999694824219</v>
      </c>
      <c r="HT17" s="11">
        <v>49.950000762939453</v>
      </c>
      <c r="HU17" s="11">
        <v>314.66000366210938</v>
      </c>
      <c r="HV17" s="11">
        <v>18.819999694824219</v>
      </c>
      <c r="HW17" s="11">
        <v>75.730003356933594</v>
      </c>
      <c r="HX17" s="11">
        <v>198.42999267578119</v>
      </c>
      <c r="HY17" s="11">
        <v>141.5</v>
      </c>
      <c r="HZ17" s="11">
        <v>15.35999965667725</v>
      </c>
      <c r="IA17" s="11">
        <v>193.7200012207031</v>
      </c>
      <c r="IB17" s="11">
        <v>74.410003662109375</v>
      </c>
      <c r="IC17" s="11">
        <v>360.07000732421881</v>
      </c>
      <c r="ID17" s="11">
        <v>197.30999755859381</v>
      </c>
      <c r="IE17" s="11">
        <v>30.860000610351559</v>
      </c>
      <c r="IF17" s="11">
        <v>19.420000076293949</v>
      </c>
      <c r="IG17" s="11">
        <v>57.380001068115227</v>
      </c>
      <c r="IH17" s="11">
        <v>28.940000534057621</v>
      </c>
      <c r="II17" s="11">
        <v>343.70999145507813</v>
      </c>
      <c r="IJ17" s="11">
        <v>375.82000732421881</v>
      </c>
      <c r="IK17" s="11">
        <v>12.460000038146971</v>
      </c>
      <c r="IL17" s="11">
        <v>267.80999755859381</v>
      </c>
      <c r="IM17" s="11">
        <v>186.8999938964844</v>
      </c>
      <c r="IN17" s="11">
        <v>220.17999267578119</v>
      </c>
      <c r="IO17" s="11">
        <v>527.280029296875</v>
      </c>
      <c r="IP17" s="11">
        <v>255.55000305175781</v>
      </c>
      <c r="IQ17" s="11">
        <v>145.74000549316409</v>
      </c>
      <c r="IR17" s="11">
        <v>59.159999847412109</v>
      </c>
      <c r="IS17" s="11">
        <v>81.989997863769531</v>
      </c>
      <c r="IT17" s="11">
        <v>195.3999938964844</v>
      </c>
      <c r="IU17" s="11">
        <v>43.360000610351563</v>
      </c>
      <c r="IV17" s="11">
        <v>129.72999572753909</v>
      </c>
      <c r="IW17" s="11">
        <v>82.180000305175781</v>
      </c>
      <c r="IX17" s="11">
        <v>34.360000610351563</v>
      </c>
      <c r="IY17" s="11">
        <v>33.200000762939453</v>
      </c>
      <c r="IZ17" s="11">
        <v>632.8599853515625</v>
      </c>
      <c r="JA17" s="11">
        <v>383.82998657226563</v>
      </c>
      <c r="JB17" s="11">
        <v>16.079999923706051</v>
      </c>
      <c r="JC17" s="11">
        <v>33.450000762939453</v>
      </c>
      <c r="JD17" s="11">
        <v>211.30000305175781</v>
      </c>
      <c r="JE17" s="11">
        <v>69.279998779296875</v>
      </c>
      <c r="JF17" s="11">
        <v>201.77000427246091</v>
      </c>
      <c r="JG17" s="11">
        <v>131.3399963378906</v>
      </c>
      <c r="JH17" s="11">
        <v>166.66999816894531</v>
      </c>
      <c r="JI17" s="11">
        <v>136.94999694824219</v>
      </c>
      <c r="JJ17" s="11">
        <v>158.36000061035159</v>
      </c>
      <c r="JK17" s="11">
        <v>54.029998779296882</v>
      </c>
      <c r="JL17" s="11">
        <v>173.72999572753909</v>
      </c>
      <c r="JM17" s="11">
        <v>36.889999389648438</v>
      </c>
      <c r="JN17" s="11">
        <v>55.619998931884773</v>
      </c>
      <c r="JO17" s="11">
        <v>31.979999542236332</v>
      </c>
      <c r="JP17" s="11">
        <v>14.170000076293951</v>
      </c>
      <c r="JQ17" s="11">
        <v>154.52000427246091</v>
      </c>
      <c r="JR17" s="11">
        <v>123.4300003051758</v>
      </c>
      <c r="JS17" s="11">
        <v>20.520000457763668</v>
      </c>
      <c r="JT17" s="11">
        <v>17.030000686645511</v>
      </c>
      <c r="JU17" s="11">
        <v>599.0999755859375</v>
      </c>
      <c r="JV17" s="11">
        <v>37.759998321533203</v>
      </c>
      <c r="JW17" s="11">
        <v>46.709999084472663</v>
      </c>
      <c r="JX17" s="11">
        <v>209.47999572753909</v>
      </c>
      <c r="JY17" s="11">
        <v>224.28999328613281</v>
      </c>
      <c r="JZ17" s="11">
        <v>832.21002197265625</v>
      </c>
      <c r="KA17" s="11">
        <v>105.44000244140619</v>
      </c>
      <c r="KB17" s="11">
        <v>50.849998474121087</v>
      </c>
      <c r="KC17" s="11">
        <v>110.84999847412109</v>
      </c>
      <c r="KD17" s="11">
        <v>153.92999267578119</v>
      </c>
      <c r="KE17" s="11">
        <v>408.64999389648438</v>
      </c>
      <c r="KF17" s="11">
        <v>89.389999389648438</v>
      </c>
      <c r="KG17" s="11">
        <v>429.76998901367188</v>
      </c>
      <c r="KH17" s="11">
        <v>72.300003051757813</v>
      </c>
      <c r="KI17" s="11">
        <v>220.22999572753909</v>
      </c>
      <c r="KJ17" s="11">
        <v>461.94000244140619</v>
      </c>
      <c r="KK17" s="11">
        <v>94.610000610351563</v>
      </c>
      <c r="KL17" s="11">
        <v>131.72999572753909</v>
      </c>
      <c r="KM17" s="11">
        <v>22.659999847412109</v>
      </c>
      <c r="KN17" s="11">
        <v>167.5299987792969</v>
      </c>
      <c r="KO17" s="11">
        <v>218.96000671386719</v>
      </c>
      <c r="KP17" s="11">
        <v>243.66999816894531</v>
      </c>
      <c r="KQ17" s="11">
        <v>193.74000549316409</v>
      </c>
      <c r="KR17" s="11">
        <v>515.510009765625</v>
      </c>
      <c r="KS17" s="11">
        <v>69.120002746582031</v>
      </c>
      <c r="KT17" s="11">
        <v>460.92001342773438</v>
      </c>
      <c r="KU17" s="11">
        <v>38.25</v>
      </c>
      <c r="KV17" s="11">
        <v>68.69000244140625</v>
      </c>
      <c r="KW17" s="11">
        <v>298.07998657226563</v>
      </c>
      <c r="KX17" s="11">
        <v>501.85000610351563</v>
      </c>
      <c r="KY17" s="11">
        <v>88.089996337890625</v>
      </c>
      <c r="KZ17" s="11">
        <v>126.379997253418</v>
      </c>
      <c r="LA17" s="11">
        <v>394.77999877929688</v>
      </c>
      <c r="LB17" s="11">
        <v>65.349998474121094</v>
      </c>
      <c r="LC17" s="11">
        <v>1224</v>
      </c>
      <c r="LD17" s="11">
        <v>44.709999084472663</v>
      </c>
      <c r="LE17" s="11">
        <v>85.650001525878906</v>
      </c>
      <c r="LF17" s="11">
        <v>85.610000610351563</v>
      </c>
      <c r="LG17" s="11">
        <v>403.77999877929688</v>
      </c>
      <c r="LH17" s="11">
        <v>127.9199981689453</v>
      </c>
      <c r="LI17" s="11">
        <v>99.019996643066406</v>
      </c>
      <c r="LJ17" s="11">
        <v>110.01999664306641</v>
      </c>
      <c r="LK17" s="11">
        <v>355.20999145507813</v>
      </c>
      <c r="LL17" s="11">
        <v>63.110000610351563</v>
      </c>
      <c r="LM17" s="11">
        <v>76.540000915527344</v>
      </c>
      <c r="LN17" s="11">
        <v>614.1300048828125</v>
      </c>
      <c r="LO17" s="11">
        <v>55.939998626708977</v>
      </c>
      <c r="LP17" s="11">
        <v>402.54000854492188</v>
      </c>
      <c r="LQ17" s="11">
        <v>86.819999694824219</v>
      </c>
      <c r="LR17" s="11">
        <v>30.870000839233398</v>
      </c>
      <c r="LS17" s="11">
        <v>325.14999389648438</v>
      </c>
      <c r="LT17" s="11">
        <v>604.29998779296875</v>
      </c>
      <c r="LU17" s="11">
        <v>57.090000152587891</v>
      </c>
      <c r="LV17" s="11">
        <v>87.449996948242188</v>
      </c>
      <c r="LW17" s="11">
        <v>567.510009765625</v>
      </c>
      <c r="LX17" s="11">
        <v>35.610000610351563</v>
      </c>
      <c r="LY17" s="11">
        <v>24.770000457763668</v>
      </c>
      <c r="LZ17" s="11">
        <v>25.70000076293945</v>
      </c>
      <c r="MA17" s="11">
        <v>59.75</v>
      </c>
      <c r="MB17" s="11">
        <v>101.7600021362305</v>
      </c>
      <c r="MC17" s="11">
        <v>26.35000038146973</v>
      </c>
      <c r="MD17" s="11">
        <v>257.3599853515625</v>
      </c>
      <c r="ME17" s="11">
        <v>255.22999572753909</v>
      </c>
      <c r="MF17" s="11">
        <v>79.300003051757813</v>
      </c>
      <c r="MG17" s="11">
        <v>446.22000122070313</v>
      </c>
      <c r="MH17" s="11">
        <v>17.79000091552734</v>
      </c>
      <c r="MI17" s="11">
        <v>54.25</v>
      </c>
      <c r="MJ17" s="11">
        <v>185.6199951171875</v>
      </c>
      <c r="MK17" s="11">
        <v>630.27001953125</v>
      </c>
      <c r="ML17" s="11">
        <v>7211.31005859375</v>
      </c>
      <c r="MM17" s="11">
        <v>213.00999450683591</v>
      </c>
      <c r="MN17" s="11">
        <v>1041.75</v>
      </c>
      <c r="MO17" s="11">
        <v>57.319999694824219</v>
      </c>
      <c r="MP17" s="11">
        <v>392.19000244140619</v>
      </c>
      <c r="MQ17" s="11">
        <v>89.80999755859375</v>
      </c>
      <c r="MR17" s="11">
        <v>70.19000244140625</v>
      </c>
      <c r="MS17" s="11">
        <v>68.480003356933594</v>
      </c>
      <c r="MT17" s="11">
        <v>115.5299987792969</v>
      </c>
      <c r="MU17" s="11">
        <v>89.580001831054688</v>
      </c>
      <c r="MV17" s="11">
        <v>102.01999664306641</v>
      </c>
      <c r="MW17" s="11">
        <v>163.13999938964841</v>
      </c>
      <c r="MX17" s="11">
        <v>339.97000122070313</v>
      </c>
      <c r="MY17" s="11">
        <v>14.680000305175779</v>
      </c>
      <c r="MZ17" s="11">
        <v>500.17999267578119</v>
      </c>
      <c r="NA17" s="11">
        <v>121.09999847412109</v>
      </c>
      <c r="NB17" s="11">
        <v>192.7200012207031</v>
      </c>
      <c r="NC17" s="11">
        <v>62.020000457763672</v>
      </c>
      <c r="ND17" s="11">
        <v>74.80999755859375</v>
      </c>
      <c r="NE17" s="11">
        <v>171.69999694824219</v>
      </c>
      <c r="NF17" s="11">
        <v>27.29000091552734</v>
      </c>
      <c r="NG17" s="11">
        <v>17.120000839233398</v>
      </c>
      <c r="NH17" s="11">
        <v>93.290000915527344</v>
      </c>
      <c r="NI17" s="11">
        <v>145.55000305175781</v>
      </c>
      <c r="NJ17" s="11">
        <v>70.129997253417969</v>
      </c>
      <c r="NK17" s="11">
        <v>228.55000305175781</v>
      </c>
      <c r="NL17" s="11">
        <v>145.44000244140619</v>
      </c>
      <c r="NM17" s="11">
        <v>377.07998657226563</v>
      </c>
      <c r="NN17" s="11">
        <v>141.5</v>
      </c>
      <c r="NO17" s="11">
        <v>26.569999694824219</v>
      </c>
      <c r="NP17" s="11">
        <v>77.730003356933594</v>
      </c>
      <c r="NQ17" s="11">
        <v>178.71000671386719</v>
      </c>
      <c r="NR17" s="11">
        <v>130.44000244140619</v>
      </c>
      <c r="NS17" s="11">
        <v>102.69000244140619</v>
      </c>
      <c r="NT17" s="11">
        <v>59.029998779296882</v>
      </c>
      <c r="NU17" s="11">
        <v>179.3999938964844</v>
      </c>
      <c r="NV17" s="11">
        <v>286.45999145507813</v>
      </c>
      <c r="NW17" s="11">
        <v>106.73000335693359</v>
      </c>
      <c r="NX17" s="11">
        <v>105.75</v>
      </c>
      <c r="NY17" s="11">
        <v>200.25999450683591</v>
      </c>
      <c r="NZ17" s="11">
        <v>141.11000061035159</v>
      </c>
      <c r="OA17" s="11">
        <v>127.1699981689453</v>
      </c>
      <c r="OB17" s="11">
        <v>146.36000061035159</v>
      </c>
      <c r="OC17" s="11">
        <v>110.4899978637695</v>
      </c>
      <c r="OD17" s="11">
        <v>92.169998168945313</v>
      </c>
      <c r="OE17" s="11">
        <v>55.25</v>
      </c>
      <c r="OF17" s="11">
        <v>63.650001525878913</v>
      </c>
      <c r="OG17" s="11">
        <v>18.219999313354489</v>
      </c>
      <c r="OH17" s="11">
        <v>173.83000183105469</v>
      </c>
      <c r="OI17" s="11">
        <v>193.6600036621094</v>
      </c>
      <c r="OJ17" s="11">
        <v>109.2600021362305</v>
      </c>
      <c r="OK17" s="11">
        <v>79.970001220703125</v>
      </c>
      <c r="OL17" s="11">
        <v>263.010009765625</v>
      </c>
      <c r="OM17" s="11">
        <v>44.240001678466797</v>
      </c>
      <c r="ON17" s="11">
        <v>545.80999755859375</v>
      </c>
      <c r="OO17" s="11">
        <v>143.11000061035159</v>
      </c>
      <c r="OP17" s="11">
        <v>126.9599990844727</v>
      </c>
      <c r="OQ17" s="11">
        <v>457.22000122070313</v>
      </c>
      <c r="OR17" s="11">
        <v>283.79998779296881</v>
      </c>
      <c r="OS17" s="11">
        <v>230.91999816894531</v>
      </c>
      <c r="OT17" s="11">
        <v>49</v>
      </c>
      <c r="OU17" s="11">
        <v>86.800003051757813</v>
      </c>
      <c r="OV17" s="11">
        <v>72.349998474121094</v>
      </c>
      <c r="OW17" s="11">
        <v>771</v>
      </c>
      <c r="OX17" s="11">
        <v>309.07998657226563</v>
      </c>
      <c r="OY17" s="11">
        <v>139.3999938964844</v>
      </c>
      <c r="OZ17" s="11">
        <v>102.9599990844727</v>
      </c>
      <c r="PA17" s="11">
        <v>133.74000549316409</v>
      </c>
      <c r="PB17" s="11">
        <v>290.04998779296881</v>
      </c>
      <c r="PC17" s="11">
        <v>70.5</v>
      </c>
      <c r="PD17" s="11">
        <v>30.180000305175781</v>
      </c>
      <c r="PE17" s="11">
        <v>91.860000610351563</v>
      </c>
      <c r="PF17" s="11">
        <v>93.370002746582031</v>
      </c>
      <c r="PG17" s="11">
        <v>73.25</v>
      </c>
      <c r="PH17" s="11">
        <v>119.7900009155273</v>
      </c>
      <c r="PI17" s="11">
        <v>223.61000061035159</v>
      </c>
      <c r="PJ17" s="11">
        <v>340.55999755859381</v>
      </c>
      <c r="PK17" s="11">
        <v>583.5</v>
      </c>
      <c r="PL17" s="11">
        <v>540</v>
      </c>
      <c r="PM17" s="11">
        <v>82.360000610351563</v>
      </c>
      <c r="PN17" s="11">
        <v>162.5</v>
      </c>
      <c r="PO17" s="11">
        <v>109.870002746582</v>
      </c>
      <c r="PP17" s="11">
        <v>166.33000183105469</v>
      </c>
      <c r="PQ17" s="11">
        <v>40.020000457763672</v>
      </c>
      <c r="PR17" s="11">
        <v>86.040000915527344</v>
      </c>
      <c r="PS17" s="11">
        <v>144.41999816894531</v>
      </c>
      <c r="PT17" s="11">
        <v>142.25</v>
      </c>
      <c r="PU17" s="11">
        <v>427.57998657226563</v>
      </c>
      <c r="PV17" s="11">
        <v>247.6499938964844</v>
      </c>
      <c r="PW17" s="11">
        <v>95.139999389648438</v>
      </c>
      <c r="PX17" s="11">
        <v>188.86000061035159</v>
      </c>
      <c r="PY17" s="11">
        <v>159.69000244140619</v>
      </c>
      <c r="PZ17" s="11">
        <v>85.80999755859375</v>
      </c>
      <c r="QA17" s="11">
        <v>552.22998046875</v>
      </c>
      <c r="QB17" s="11">
        <v>97.05999755859375</v>
      </c>
      <c r="QC17" s="11">
        <v>234.8999938964844</v>
      </c>
      <c r="QD17" s="11">
        <v>270.739990234375</v>
      </c>
      <c r="QE17" s="11">
        <v>1113.680053710938</v>
      </c>
      <c r="QF17" s="11">
        <v>212.02000427246091</v>
      </c>
      <c r="QG17" s="11">
        <v>52.389999389648438</v>
      </c>
      <c r="QH17" s="11">
        <v>36.5</v>
      </c>
      <c r="QI17" s="11">
        <v>429.67999267578119</v>
      </c>
      <c r="QJ17" s="11">
        <v>56.630001068115227</v>
      </c>
      <c r="QK17" s="11">
        <v>40.889999389648438</v>
      </c>
      <c r="QL17" s="11">
        <v>66.730003356933594</v>
      </c>
      <c r="QM17" s="11">
        <v>36.509998321533203</v>
      </c>
      <c r="QN17" s="11">
        <v>503.51998901367188</v>
      </c>
      <c r="QO17" s="11">
        <v>249.27000427246091</v>
      </c>
      <c r="QP17" s="11">
        <v>41.5</v>
      </c>
      <c r="QQ17" s="11">
        <v>142.4100036621094</v>
      </c>
      <c r="QR17" s="11">
        <v>645.3699951171875</v>
      </c>
      <c r="QS17" s="11">
        <v>507.1400146484375</v>
      </c>
      <c r="QT17" s="11">
        <v>163.13999938964841</v>
      </c>
      <c r="QU17" s="11">
        <v>138.28999328613281</v>
      </c>
      <c r="QV17" s="11">
        <v>47.229999542236328</v>
      </c>
      <c r="QW17" s="11">
        <v>200.25</v>
      </c>
      <c r="QX17" s="11">
        <v>246.6199951171875</v>
      </c>
      <c r="QY17" s="11">
        <v>42.490001678466797</v>
      </c>
      <c r="QZ17" s="11">
        <v>433.8699951171875</v>
      </c>
      <c r="RA17" s="11">
        <v>16.829999923706051</v>
      </c>
      <c r="RB17" s="11">
        <v>11.86999988555908</v>
      </c>
      <c r="RC17" s="11">
        <v>31.04999923706055</v>
      </c>
      <c r="RD17" s="11">
        <v>277.04998779296881</v>
      </c>
      <c r="RE17" s="11">
        <v>230.36000061035159</v>
      </c>
      <c r="RF17" s="11">
        <v>80.279998779296875</v>
      </c>
      <c r="RG17" s="11">
        <v>133.3999938964844</v>
      </c>
      <c r="RH17" s="11">
        <v>23.25</v>
      </c>
      <c r="RI17" s="11">
        <v>56.10333251953125</v>
      </c>
      <c r="RJ17" s="11">
        <v>97.05999755859375</v>
      </c>
      <c r="RK17" s="11">
        <v>10.460000038146971</v>
      </c>
      <c r="RL17" s="11">
        <v>188.41999816894531</v>
      </c>
      <c r="RM17" s="11">
        <v>324.45001220703119</v>
      </c>
      <c r="RN17" s="11">
        <v>81.779998779296875</v>
      </c>
      <c r="RO17" s="11">
        <v>48.729999542236328</v>
      </c>
      <c r="RP17" s="11">
        <v>88.230003356933594</v>
      </c>
      <c r="RQ17" s="11">
        <v>381.5</v>
      </c>
      <c r="RR17" s="11">
        <v>57.400001525878913</v>
      </c>
      <c r="RS17" s="11">
        <v>39.229999542236328</v>
      </c>
      <c r="RT17" s="11">
        <v>33.450000762939453</v>
      </c>
      <c r="RU17" s="11">
        <v>34.869998931884773</v>
      </c>
      <c r="RV17" s="11">
        <v>247.2799987792969</v>
      </c>
      <c r="RW17" s="11">
        <v>922.6400146484375</v>
      </c>
      <c r="RX17" s="11">
        <v>97.290000915527344</v>
      </c>
      <c r="RY17" s="11">
        <v>61.139999389648438</v>
      </c>
      <c r="RZ17" s="11">
        <v>115.379997253418</v>
      </c>
      <c r="SA17" s="11">
        <v>130.44999694824219</v>
      </c>
      <c r="SB17" s="11">
        <v>242.6000061035156</v>
      </c>
      <c r="SC17" s="11">
        <v>127.25</v>
      </c>
      <c r="SD17" s="11">
        <v>189.13999938964841</v>
      </c>
    </row>
  </sheetData>
  <mergeCells count="498">
    <mergeCell ref="B1:B3"/>
    <mergeCell ref="C1:C3"/>
    <mergeCell ref="D1:D3"/>
    <mergeCell ref="E1:E3"/>
    <mergeCell ref="F1:F3"/>
    <mergeCell ref="G1:G3"/>
    <mergeCell ref="A1:A4"/>
    <mergeCell ref="N1:N3"/>
    <mergeCell ref="O1:O3"/>
    <mergeCell ref="P1:P3"/>
    <mergeCell ref="Q1:Q3"/>
    <mergeCell ref="R1:R3"/>
    <mergeCell ref="S1:S3"/>
    <mergeCell ref="H1:H3"/>
    <mergeCell ref="I1:I3"/>
    <mergeCell ref="J1:J3"/>
    <mergeCell ref="K1:K3"/>
    <mergeCell ref="L1:L3"/>
    <mergeCell ref="M1:M3"/>
    <mergeCell ref="Z1:Z3"/>
    <mergeCell ref="AA1:AA3"/>
    <mergeCell ref="AB1:AB3"/>
    <mergeCell ref="AC1:AC3"/>
    <mergeCell ref="AD1:AD3"/>
    <mergeCell ref="AE1:AE3"/>
    <mergeCell ref="T1:T3"/>
    <mergeCell ref="U1:U3"/>
    <mergeCell ref="V1:V3"/>
    <mergeCell ref="W1:W3"/>
    <mergeCell ref="X1:X3"/>
    <mergeCell ref="Y1:Y3"/>
    <mergeCell ref="AL1:AL3"/>
    <mergeCell ref="AM1:AM3"/>
    <mergeCell ref="AN1:AN3"/>
    <mergeCell ref="AO1:AO3"/>
    <mergeCell ref="AP1:AP3"/>
    <mergeCell ref="AQ1:AQ3"/>
    <mergeCell ref="AF1:AF3"/>
    <mergeCell ref="AG1:AG3"/>
    <mergeCell ref="AH1:AH3"/>
    <mergeCell ref="AI1:AI3"/>
    <mergeCell ref="AJ1:AJ3"/>
    <mergeCell ref="AK1:AK3"/>
    <mergeCell ref="AX1:AX3"/>
    <mergeCell ref="AY1:AY3"/>
    <mergeCell ref="AZ1:AZ3"/>
    <mergeCell ref="BA1:BA3"/>
    <mergeCell ref="BB1:BB3"/>
    <mergeCell ref="BC1:BC3"/>
    <mergeCell ref="AR1:AR3"/>
    <mergeCell ref="AS1:AS3"/>
    <mergeCell ref="AT1:AT3"/>
    <mergeCell ref="AU1:AU3"/>
    <mergeCell ref="AV1:AV3"/>
    <mergeCell ref="AW1:AW3"/>
    <mergeCell ref="BJ1:BJ3"/>
    <mergeCell ref="BK1:BK3"/>
    <mergeCell ref="BL1:BL3"/>
    <mergeCell ref="BM1:BM3"/>
    <mergeCell ref="BN1:BN3"/>
    <mergeCell ref="BO1:BO3"/>
    <mergeCell ref="BD1:BD3"/>
    <mergeCell ref="BE1:BE3"/>
    <mergeCell ref="BF1:BF3"/>
    <mergeCell ref="BG1:BG3"/>
    <mergeCell ref="BH1:BH3"/>
    <mergeCell ref="BI1:BI3"/>
    <mergeCell ref="BV1:BV3"/>
    <mergeCell ref="BW1:BW3"/>
    <mergeCell ref="BX1:BX3"/>
    <mergeCell ref="BY1:BY3"/>
    <mergeCell ref="BZ1:BZ3"/>
    <mergeCell ref="CA1:CA3"/>
    <mergeCell ref="BP1:BP3"/>
    <mergeCell ref="BQ1:BQ3"/>
    <mergeCell ref="BR1:BR3"/>
    <mergeCell ref="BS1:BS3"/>
    <mergeCell ref="BT1:BT3"/>
    <mergeCell ref="BU1:BU3"/>
    <mergeCell ref="CH1:CH3"/>
    <mergeCell ref="CI1:CI3"/>
    <mergeCell ref="CJ1:CJ3"/>
    <mergeCell ref="CK1:CK3"/>
    <mergeCell ref="CL1:CL3"/>
    <mergeCell ref="CM1:CM3"/>
    <mergeCell ref="CB1:CB3"/>
    <mergeCell ref="CC1:CC3"/>
    <mergeCell ref="CD1:CD3"/>
    <mergeCell ref="CE1:CE3"/>
    <mergeCell ref="CF1:CF3"/>
    <mergeCell ref="CG1:CG3"/>
    <mergeCell ref="CT1:CT3"/>
    <mergeCell ref="CU1:CU3"/>
    <mergeCell ref="CV1:CV3"/>
    <mergeCell ref="CW1:CW3"/>
    <mergeCell ref="CX1:CX3"/>
    <mergeCell ref="CY1:CY3"/>
    <mergeCell ref="CN1:CN3"/>
    <mergeCell ref="CO1:CO3"/>
    <mergeCell ref="CP1:CP3"/>
    <mergeCell ref="CQ1:CQ3"/>
    <mergeCell ref="CR1:CR3"/>
    <mergeCell ref="CS1:CS3"/>
    <mergeCell ref="DF1:DF3"/>
    <mergeCell ref="DG1:DG3"/>
    <mergeCell ref="DH1:DH3"/>
    <mergeCell ref="DI1:DI3"/>
    <mergeCell ref="DJ1:DJ3"/>
    <mergeCell ref="DK1:DK3"/>
    <mergeCell ref="CZ1:CZ3"/>
    <mergeCell ref="DA1:DA3"/>
    <mergeCell ref="DB1:DB3"/>
    <mergeCell ref="DC1:DC3"/>
    <mergeCell ref="DD1:DD3"/>
    <mergeCell ref="DE1:DE3"/>
    <mergeCell ref="DR1:DR3"/>
    <mergeCell ref="DS1:DS3"/>
    <mergeCell ref="DT1:DT3"/>
    <mergeCell ref="DU1:DU3"/>
    <mergeCell ref="DV1:DV3"/>
    <mergeCell ref="DW1:DW3"/>
    <mergeCell ref="DL1:DL3"/>
    <mergeCell ref="DM1:DM3"/>
    <mergeCell ref="DN1:DN3"/>
    <mergeCell ref="DO1:DO3"/>
    <mergeCell ref="DP1:DP3"/>
    <mergeCell ref="DQ1:DQ3"/>
    <mergeCell ref="ED1:ED3"/>
    <mergeCell ref="EE1:EE3"/>
    <mergeCell ref="EF1:EF3"/>
    <mergeCell ref="EG1:EG3"/>
    <mergeCell ref="EH1:EH3"/>
    <mergeCell ref="EI1:EI3"/>
    <mergeCell ref="DX1:DX3"/>
    <mergeCell ref="DY1:DY3"/>
    <mergeCell ref="DZ1:DZ3"/>
    <mergeCell ref="EA1:EA3"/>
    <mergeCell ref="EB1:EB3"/>
    <mergeCell ref="EC1:EC3"/>
    <mergeCell ref="EP1:EP3"/>
    <mergeCell ref="EQ1:EQ3"/>
    <mergeCell ref="ER1:ER3"/>
    <mergeCell ref="ES1:ES3"/>
    <mergeCell ref="ET1:ET3"/>
    <mergeCell ref="EU1:EU3"/>
    <mergeCell ref="EJ1:EJ3"/>
    <mergeCell ref="EK1:EK3"/>
    <mergeCell ref="EL1:EL3"/>
    <mergeCell ref="EM1:EM3"/>
    <mergeCell ref="EN1:EN3"/>
    <mergeCell ref="EO1:EO3"/>
    <mergeCell ref="FB1:FB3"/>
    <mergeCell ref="FC1:FC3"/>
    <mergeCell ref="FD1:FD3"/>
    <mergeCell ref="FE1:FE3"/>
    <mergeCell ref="FF1:FF3"/>
    <mergeCell ref="FG1:FG3"/>
    <mergeCell ref="EV1:EV3"/>
    <mergeCell ref="EW1:EW3"/>
    <mergeCell ref="EX1:EX3"/>
    <mergeCell ref="EY1:EY3"/>
    <mergeCell ref="EZ1:EZ3"/>
    <mergeCell ref="FA1:FA3"/>
    <mergeCell ref="FN1:FN3"/>
    <mergeCell ref="FO1:FO3"/>
    <mergeCell ref="FP1:FP3"/>
    <mergeCell ref="FQ1:FQ3"/>
    <mergeCell ref="FR1:FR3"/>
    <mergeCell ref="FS1:FS3"/>
    <mergeCell ref="FH1:FH3"/>
    <mergeCell ref="FI1:FI3"/>
    <mergeCell ref="FJ1:FJ3"/>
    <mergeCell ref="FK1:FK3"/>
    <mergeCell ref="FL1:FL3"/>
    <mergeCell ref="FM1:FM3"/>
    <mergeCell ref="FZ1:FZ3"/>
    <mergeCell ref="GA1:GA3"/>
    <mergeCell ref="GB1:GB3"/>
    <mergeCell ref="GC1:GC3"/>
    <mergeCell ref="GD1:GD3"/>
    <mergeCell ref="GE1:GE3"/>
    <mergeCell ref="FT1:FT3"/>
    <mergeCell ref="FU1:FU3"/>
    <mergeCell ref="FV1:FV3"/>
    <mergeCell ref="FW1:FW3"/>
    <mergeCell ref="FX1:FX3"/>
    <mergeCell ref="FY1:FY3"/>
    <mergeCell ref="GL1:GL3"/>
    <mergeCell ref="GM1:GM3"/>
    <mergeCell ref="GN1:GN3"/>
    <mergeCell ref="GO1:GO3"/>
    <mergeCell ref="GP1:GP3"/>
    <mergeCell ref="GQ1:GQ3"/>
    <mergeCell ref="GF1:GF3"/>
    <mergeCell ref="GG1:GG3"/>
    <mergeCell ref="GH1:GH3"/>
    <mergeCell ref="GI1:GI3"/>
    <mergeCell ref="GJ1:GJ3"/>
    <mergeCell ref="GK1:GK3"/>
    <mergeCell ref="GX1:GX3"/>
    <mergeCell ref="GY1:GY3"/>
    <mergeCell ref="GZ1:GZ3"/>
    <mergeCell ref="HA1:HA3"/>
    <mergeCell ref="HB1:HB3"/>
    <mergeCell ref="HC1:HC3"/>
    <mergeCell ref="GR1:GR3"/>
    <mergeCell ref="GS1:GS3"/>
    <mergeCell ref="GT1:GT3"/>
    <mergeCell ref="GU1:GU3"/>
    <mergeCell ref="GV1:GV3"/>
    <mergeCell ref="GW1:GW3"/>
    <mergeCell ref="HJ1:HJ3"/>
    <mergeCell ref="HK1:HK3"/>
    <mergeCell ref="HL1:HL3"/>
    <mergeCell ref="HM1:HM3"/>
    <mergeCell ref="HN1:HN3"/>
    <mergeCell ref="HO1:HO3"/>
    <mergeCell ref="HD1:HD3"/>
    <mergeCell ref="HE1:HE3"/>
    <mergeCell ref="HF1:HF3"/>
    <mergeCell ref="HG1:HG3"/>
    <mergeCell ref="HH1:HH3"/>
    <mergeCell ref="HI1:HI3"/>
    <mergeCell ref="HV1:HV3"/>
    <mergeCell ref="HW1:HW3"/>
    <mergeCell ref="HX1:HX3"/>
    <mergeCell ref="HY1:HY3"/>
    <mergeCell ref="HZ1:HZ3"/>
    <mergeCell ref="IA1:IA3"/>
    <mergeCell ref="HP1:HP3"/>
    <mergeCell ref="HQ1:HQ3"/>
    <mergeCell ref="HR1:HR3"/>
    <mergeCell ref="HS1:HS3"/>
    <mergeCell ref="HT1:HT3"/>
    <mergeCell ref="HU1:HU3"/>
    <mergeCell ref="IH1:IH3"/>
    <mergeCell ref="II1:II3"/>
    <mergeCell ref="IJ1:IJ3"/>
    <mergeCell ref="IK1:IK3"/>
    <mergeCell ref="IL1:IL3"/>
    <mergeCell ref="IM1:IM3"/>
    <mergeCell ref="IB1:IB3"/>
    <mergeCell ref="IC1:IC3"/>
    <mergeCell ref="ID1:ID3"/>
    <mergeCell ref="IE1:IE3"/>
    <mergeCell ref="IF1:IF3"/>
    <mergeCell ref="IG1:IG3"/>
    <mergeCell ref="IT1:IT3"/>
    <mergeCell ref="IU1:IU3"/>
    <mergeCell ref="IV1:IV3"/>
    <mergeCell ref="IW1:IW3"/>
    <mergeCell ref="IX1:IX3"/>
    <mergeCell ref="IY1:IY3"/>
    <mergeCell ref="IN1:IN3"/>
    <mergeCell ref="IO1:IO3"/>
    <mergeCell ref="IP1:IP3"/>
    <mergeCell ref="IQ1:IQ3"/>
    <mergeCell ref="IR1:IR3"/>
    <mergeCell ref="IS1:IS3"/>
    <mergeCell ref="JF1:JF3"/>
    <mergeCell ref="JG1:JG3"/>
    <mergeCell ref="JH1:JH3"/>
    <mergeCell ref="JI1:JI3"/>
    <mergeCell ref="JJ1:JJ3"/>
    <mergeCell ref="JK1:JK3"/>
    <mergeCell ref="IZ1:IZ3"/>
    <mergeCell ref="JA1:JA3"/>
    <mergeCell ref="JB1:JB3"/>
    <mergeCell ref="JC1:JC3"/>
    <mergeCell ref="JD1:JD3"/>
    <mergeCell ref="JE1:JE3"/>
    <mergeCell ref="JQ1:JQ3"/>
    <mergeCell ref="JR1:JR3"/>
    <mergeCell ref="JS1:JS3"/>
    <mergeCell ref="JT1:JT3"/>
    <mergeCell ref="JU1:JU3"/>
    <mergeCell ref="JV1:JV3"/>
    <mergeCell ref="JL1:JL3"/>
    <mergeCell ref="JM1:JM3"/>
    <mergeCell ref="JN1:JN3"/>
    <mergeCell ref="JO1:JO3"/>
    <mergeCell ref="JP1:JP3"/>
    <mergeCell ref="KC1:KC3"/>
    <mergeCell ref="KD1:KD3"/>
    <mergeCell ref="KE1:KE3"/>
    <mergeCell ref="KF1:KF3"/>
    <mergeCell ref="KG1:KG3"/>
    <mergeCell ref="JW1:JW3"/>
    <mergeCell ref="JX1:JX3"/>
    <mergeCell ref="JY1:JY3"/>
    <mergeCell ref="JZ1:JZ3"/>
    <mergeCell ref="KA1:KA3"/>
    <mergeCell ref="KB1:KB3"/>
    <mergeCell ref="KN1:KN3"/>
    <mergeCell ref="KO1:KO3"/>
    <mergeCell ref="KP1:KP3"/>
    <mergeCell ref="KQ1:KQ3"/>
    <mergeCell ref="KR1:KR3"/>
    <mergeCell ref="KS1:KS3"/>
    <mergeCell ref="KH1:KH3"/>
    <mergeCell ref="KI1:KI3"/>
    <mergeCell ref="KJ1:KJ3"/>
    <mergeCell ref="KK1:KK3"/>
    <mergeCell ref="KL1:KL3"/>
    <mergeCell ref="KM1:KM3"/>
    <mergeCell ref="KZ1:KZ3"/>
    <mergeCell ref="LA1:LA3"/>
    <mergeCell ref="LB1:LB3"/>
    <mergeCell ref="LC1:LC3"/>
    <mergeCell ref="LD1:LD3"/>
    <mergeCell ref="LE1:LE3"/>
    <mergeCell ref="KT1:KT3"/>
    <mergeCell ref="KU1:KU3"/>
    <mergeCell ref="KV1:KV3"/>
    <mergeCell ref="KW1:KW3"/>
    <mergeCell ref="KX1:KX3"/>
    <mergeCell ref="KY1:KY3"/>
    <mergeCell ref="LL1:LL3"/>
    <mergeCell ref="LM1:LM3"/>
    <mergeCell ref="LN1:LN3"/>
    <mergeCell ref="LO1:LO3"/>
    <mergeCell ref="LP1:LP3"/>
    <mergeCell ref="LQ1:LQ3"/>
    <mergeCell ref="LF1:LF3"/>
    <mergeCell ref="LG1:LG3"/>
    <mergeCell ref="LH1:LH3"/>
    <mergeCell ref="LI1:LI3"/>
    <mergeCell ref="LJ1:LJ3"/>
    <mergeCell ref="LK1:LK3"/>
    <mergeCell ref="LX1:LX3"/>
    <mergeCell ref="LY1:LY3"/>
    <mergeCell ref="LZ1:LZ3"/>
    <mergeCell ref="MA1:MA3"/>
    <mergeCell ref="MB1:MB3"/>
    <mergeCell ref="MC1:MC3"/>
    <mergeCell ref="LR1:LR3"/>
    <mergeCell ref="LS1:LS3"/>
    <mergeCell ref="LT1:LT3"/>
    <mergeCell ref="LU1:LU3"/>
    <mergeCell ref="LV1:LV3"/>
    <mergeCell ref="LW1:LW3"/>
    <mergeCell ref="MJ1:MJ3"/>
    <mergeCell ref="MK1:MK3"/>
    <mergeCell ref="ML1:ML3"/>
    <mergeCell ref="MM1:MM3"/>
    <mergeCell ref="MN1:MN3"/>
    <mergeCell ref="MO1:MO3"/>
    <mergeCell ref="MD1:MD3"/>
    <mergeCell ref="ME1:ME3"/>
    <mergeCell ref="MF1:MF3"/>
    <mergeCell ref="MG1:MG3"/>
    <mergeCell ref="MH1:MH3"/>
    <mergeCell ref="MI1:MI3"/>
    <mergeCell ref="MV1:MV3"/>
    <mergeCell ref="MW1:MW3"/>
    <mergeCell ref="MX1:MX3"/>
    <mergeCell ref="MY1:MY3"/>
    <mergeCell ref="MZ1:MZ3"/>
    <mergeCell ref="NA1:NA3"/>
    <mergeCell ref="MP1:MP3"/>
    <mergeCell ref="MQ1:MQ3"/>
    <mergeCell ref="MR1:MR3"/>
    <mergeCell ref="MS1:MS3"/>
    <mergeCell ref="MT1:MT3"/>
    <mergeCell ref="MU1:MU3"/>
    <mergeCell ref="NH1:NH3"/>
    <mergeCell ref="NI1:NI3"/>
    <mergeCell ref="NJ1:NJ3"/>
    <mergeCell ref="NK1:NK3"/>
    <mergeCell ref="NL1:NL3"/>
    <mergeCell ref="NM1:NM3"/>
    <mergeCell ref="NB1:NB3"/>
    <mergeCell ref="NC1:NC3"/>
    <mergeCell ref="ND1:ND3"/>
    <mergeCell ref="NE1:NE3"/>
    <mergeCell ref="NF1:NF3"/>
    <mergeCell ref="NG1:NG3"/>
    <mergeCell ref="NT1:NT3"/>
    <mergeCell ref="NU1:NU3"/>
    <mergeCell ref="NV1:NV3"/>
    <mergeCell ref="NW1:NW3"/>
    <mergeCell ref="NX1:NX3"/>
    <mergeCell ref="NY1:NY3"/>
    <mergeCell ref="NN1:NN3"/>
    <mergeCell ref="NO1:NO3"/>
    <mergeCell ref="NP1:NP3"/>
    <mergeCell ref="NQ1:NQ3"/>
    <mergeCell ref="NR1:NR3"/>
    <mergeCell ref="NS1:NS3"/>
    <mergeCell ref="OF1:OF3"/>
    <mergeCell ref="OG1:OG3"/>
    <mergeCell ref="OH1:OH3"/>
    <mergeCell ref="OI1:OI3"/>
    <mergeCell ref="OJ1:OJ3"/>
    <mergeCell ref="OK1:OK3"/>
    <mergeCell ref="NZ1:NZ3"/>
    <mergeCell ref="OA1:OA3"/>
    <mergeCell ref="OB1:OB3"/>
    <mergeCell ref="OC1:OC3"/>
    <mergeCell ref="OD1:OD3"/>
    <mergeCell ref="OE1:OE3"/>
    <mergeCell ref="OR1:OR3"/>
    <mergeCell ref="OS1:OS3"/>
    <mergeCell ref="OT1:OT3"/>
    <mergeCell ref="OU1:OU3"/>
    <mergeCell ref="OV1:OV3"/>
    <mergeCell ref="OW1:OW3"/>
    <mergeCell ref="OL1:OL3"/>
    <mergeCell ref="OM1:OM3"/>
    <mergeCell ref="ON1:ON3"/>
    <mergeCell ref="OO1:OO3"/>
    <mergeCell ref="OP1:OP3"/>
    <mergeCell ref="OQ1:OQ3"/>
    <mergeCell ref="PD1:PD3"/>
    <mergeCell ref="PE1:PE3"/>
    <mergeCell ref="PF1:PF3"/>
    <mergeCell ref="PG1:PG3"/>
    <mergeCell ref="PH1:PH3"/>
    <mergeCell ref="PI1:PI3"/>
    <mergeCell ref="OX1:OX3"/>
    <mergeCell ref="OY1:OY3"/>
    <mergeCell ref="OZ1:OZ3"/>
    <mergeCell ref="PA1:PA3"/>
    <mergeCell ref="PB1:PB3"/>
    <mergeCell ref="PC1:PC3"/>
    <mergeCell ref="PP1:PP3"/>
    <mergeCell ref="PQ1:PQ3"/>
    <mergeCell ref="PR1:PR3"/>
    <mergeCell ref="PS1:PS3"/>
    <mergeCell ref="PT1:PT3"/>
    <mergeCell ref="PU1:PU3"/>
    <mergeCell ref="PJ1:PJ3"/>
    <mergeCell ref="PK1:PK3"/>
    <mergeCell ref="PL1:PL3"/>
    <mergeCell ref="PM1:PM3"/>
    <mergeCell ref="PN1:PN3"/>
    <mergeCell ref="PO1:PO3"/>
    <mergeCell ref="QB1:QB3"/>
    <mergeCell ref="QC1:QC3"/>
    <mergeCell ref="QD1:QD3"/>
    <mergeCell ref="QE1:QE3"/>
    <mergeCell ref="QF1:QF3"/>
    <mergeCell ref="QG1:QG3"/>
    <mergeCell ref="PV1:PV3"/>
    <mergeCell ref="PW1:PW3"/>
    <mergeCell ref="PX1:PX3"/>
    <mergeCell ref="PY1:PY3"/>
    <mergeCell ref="PZ1:PZ3"/>
    <mergeCell ref="QA1:QA3"/>
    <mergeCell ref="QN1:QN3"/>
    <mergeCell ref="QO1:QO3"/>
    <mergeCell ref="QP1:QP3"/>
    <mergeCell ref="QQ1:QQ3"/>
    <mergeCell ref="QR1:QR3"/>
    <mergeCell ref="QS1:QS3"/>
    <mergeCell ref="QH1:QH3"/>
    <mergeCell ref="QI1:QI3"/>
    <mergeCell ref="QJ1:QJ3"/>
    <mergeCell ref="QK1:QK3"/>
    <mergeCell ref="QL1:QL3"/>
    <mergeCell ref="QM1:QM3"/>
    <mergeCell ref="QY1:QY3"/>
    <mergeCell ref="QZ1:QZ3"/>
    <mergeCell ref="RA1:RA3"/>
    <mergeCell ref="RB1:RB3"/>
    <mergeCell ref="RC1:RC3"/>
    <mergeCell ref="RD1:RD3"/>
    <mergeCell ref="QT1:QT3"/>
    <mergeCell ref="QU1:QU3"/>
    <mergeCell ref="QV1:QV3"/>
    <mergeCell ref="QW1:QW3"/>
    <mergeCell ref="QX1:QX3"/>
    <mergeCell ref="RK1:RK3"/>
    <mergeCell ref="RL1:RL3"/>
    <mergeCell ref="RM1:RM3"/>
    <mergeCell ref="RN1:RN3"/>
    <mergeCell ref="RO1:RO3"/>
    <mergeCell ref="RP1:RP3"/>
    <mergeCell ref="RE1:RE3"/>
    <mergeCell ref="RF1:RF3"/>
    <mergeCell ref="RG1:RG3"/>
    <mergeCell ref="RH1:RH3"/>
    <mergeCell ref="RI1:RI3"/>
    <mergeCell ref="RJ1:RJ3"/>
    <mergeCell ref="SC1:SC3"/>
    <mergeCell ref="SD1:SD3"/>
    <mergeCell ref="RW1:RW3"/>
    <mergeCell ref="RX1:RX3"/>
    <mergeCell ref="RY1:RY3"/>
    <mergeCell ref="RZ1:RZ3"/>
    <mergeCell ref="SA1:SA3"/>
    <mergeCell ref="SB1:SB3"/>
    <mergeCell ref="RQ1:RQ3"/>
    <mergeCell ref="RR1:RR3"/>
    <mergeCell ref="RS1:RS3"/>
    <mergeCell ref="RT1:RT3"/>
    <mergeCell ref="RU1:RU3"/>
    <mergeCell ref="RV1:RV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 tint="0.39997558519241921"/>
  </sheetPr>
  <dimension ref="B2:M38"/>
  <sheetViews>
    <sheetView zoomScale="121" workbookViewId="0">
      <selection activeCell="O3" sqref="O3"/>
    </sheetView>
  </sheetViews>
  <sheetFormatPr defaultColWidth="8.85546875" defaultRowHeight="15" x14ac:dyDescent="0.25"/>
  <cols>
    <col min="2" max="2" width="10" bestFit="1" customWidth="1"/>
  </cols>
  <sheetData>
    <row r="2" spans="2:13" ht="15" customHeight="1" x14ac:dyDescent="0.25">
      <c r="B2" s="49" t="s">
        <v>0</v>
      </c>
      <c r="C2" s="51" t="s">
        <v>1164</v>
      </c>
      <c r="D2" s="51"/>
      <c r="E2" s="51"/>
      <c r="F2" s="51"/>
      <c r="G2" s="51"/>
      <c r="H2" s="51"/>
      <c r="I2" s="51"/>
      <c r="J2" s="51"/>
      <c r="K2" s="51"/>
      <c r="L2" s="51"/>
      <c r="M2" s="53" t="s">
        <v>7</v>
      </c>
    </row>
    <row r="3" spans="2:13" x14ac:dyDescent="0.25">
      <c r="B3" s="49"/>
      <c r="C3" s="52"/>
      <c r="D3" s="52"/>
      <c r="E3" s="52"/>
      <c r="F3" s="52"/>
      <c r="G3" s="52"/>
      <c r="H3" s="52"/>
      <c r="I3" s="52"/>
      <c r="J3" s="52"/>
      <c r="K3" s="52"/>
      <c r="L3" s="52"/>
      <c r="M3" s="54"/>
    </row>
    <row r="4" spans="2:13" ht="30" x14ac:dyDescent="0.25">
      <c r="B4" s="49"/>
      <c r="C4" s="21" t="s">
        <v>1144</v>
      </c>
      <c r="D4" s="21" t="s">
        <v>1146</v>
      </c>
      <c r="E4" s="21" t="s">
        <v>1148</v>
      </c>
      <c r="F4" s="21" t="s">
        <v>1149</v>
      </c>
      <c r="G4" s="21" t="s">
        <v>1150</v>
      </c>
      <c r="H4" s="21" t="s">
        <v>1151</v>
      </c>
      <c r="I4" s="21" t="s">
        <v>1152</v>
      </c>
      <c r="J4" s="21" t="s">
        <v>1153</v>
      </c>
      <c r="K4" s="21" t="s">
        <v>1154</v>
      </c>
      <c r="L4" s="21" t="s">
        <v>1155</v>
      </c>
      <c r="M4" s="54"/>
    </row>
    <row r="5" spans="2:13" x14ac:dyDescent="0.25">
      <c r="B5" s="50"/>
      <c r="C5" s="22" t="s">
        <v>1145</v>
      </c>
      <c r="D5" s="22" t="s">
        <v>1147</v>
      </c>
      <c r="E5" s="22" t="s">
        <v>1156</v>
      </c>
      <c r="F5" s="22" t="s">
        <v>1157</v>
      </c>
      <c r="G5" s="22" t="s">
        <v>1158</v>
      </c>
      <c r="H5" s="22" t="s">
        <v>1159</v>
      </c>
      <c r="I5" s="22" t="s">
        <v>1160</v>
      </c>
      <c r="J5" s="22" t="s">
        <v>1161</v>
      </c>
      <c r="K5" s="22" t="s">
        <v>1162</v>
      </c>
      <c r="L5" s="22" t="s">
        <v>1163</v>
      </c>
      <c r="M5" s="55"/>
    </row>
    <row r="6" spans="2:13" x14ac:dyDescent="0.25">
      <c r="B6" s="13">
        <v>44958</v>
      </c>
      <c r="M6" s="7">
        <v>376.35</v>
      </c>
    </row>
    <row r="7" spans="2:13" x14ac:dyDescent="0.25">
      <c r="B7" s="13">
        <v>44986</v>
      </c>
      <c r="M7" s="7">
        <v>367.15</v>
      </c>
    </row>
    <row r="8" spans="2:13" x14ac:dyDescent="0.25">
      <c r="B8" s="13">
        <v>45017</v>
      </c>
      <c r="M8" s="7">
        <v>379.07</v>
      </c>
    </row>
    <row r="9" spans="2:13" x14ac:dyDescent="0.25">
      <c r="B9" s="13">
        <v>45047</v>
      </c>
      <c r="M9" s="7">
        <v>384.97</v>
      </c>
    </row>
    <row r="10" spans="2:13" x14ac:dyDescent="0.25">
      <c r="B10" s="13">
        <v>45078</v>
      </c>
      <c r="M10" s="7">
        <v>386.63</v>
      </c>
    </row>
    <row r="11" spans="2:13" x14ac:dyDescent="0.25">
      <c r="B11" s="13">
        <v>45108</v>
      </c>
      <c r="M11" s="7">
        <v>410.56</v>
      </c>
    </row>
    <row r="12" spans="2:13" x14ac:dyDescent="0.25">
      <c r="B12" s="13">
        <v>45139</v>
      </c>
      <c r="M12" s="7">
        <v>423.73</v>
      </c>
    </row>
    <row r="13" spans="2:13" x14ac:dyDescent="0.25">
      <c r="B13" s="13">
        <v>45170</v>
      </c>
      <c r="M13" s="7">
        <v>416.98</v>
      </c>
    </row>
    <row r="14" spans="2:13" x14ac:dyDescent="0.25">
      <c r="B14" s="13">
        <v>45200</v>
      </c>
      <c r="M14" s="7">
        <v>395.59</v>
      </c>
    </row>
    <row r="15" spans="2:13" x14ac:dyDescent="0.25">
      <c r="B15" s="13">
        <v>45231</v>
      </c>
      <c r="M15" s="7">
        <v>387.26</v>
      </c>
    </row>
    <row r="16" spans="2:13" x14ac:dyDescent="0.25">
      <c r="B16" s="13">
        <v>45261</v>
      </c>
      <c r="M16" s="7">
        <v>422.61</v>
      </c>
    </row>
    <row r="17" spans="2:13" x14ac:dyDescent="0.25">
      <c r="B17" s="13">
        <v>45292</v>
      </c>
      <c r="M17" s="7">
        <v>439.99</v>
      </c>
    </row>
    <row r="18" spans="2:13" x14ac:dyDescent="0.25">
      <c r="B18" s="14">
        <v>45323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8">
        <v>447.36</v>
      </c>
    </row>
    <row r="23" spans="2:13" x14ac:dyDescent="0.25">
      <c r="D23" s="3"/>
      <c r="E23" s="3"/>
      <c r="F23" s="3"/>
      <c r="G23" s="3"/>
      <c r="H23" s="3"/>
      <c r="I23" s="3"/>
      <c r="J23" s="3"/>
    </row>
    <row r="24" spans="2:13" x14ac:dyDescent="0.25">
      <c r="D24" s="3"/>
      <c r="E24" s="3"/>
      <c r="F24" s="3"/>
      <c r="G24" s="3"/>
      <c r="H24" s="3"/>
      <c r="I24" s="3"/>
      <c r="J24" s="3"/>
    </row>
    <row r="25" spans="2:13" x14ac:dyDescent="0.25">
      <c r="B25" s="1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2:13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2:13" x14ac:dyDescent="0.25">
      <c r="B27" s="18"/>
    </row>
    <row r="28" spans="2:13" x14ac:dyDescent="0.25">
      <c r="B28" s="18"/>
    </row>
    <row r="29" spans="2:13" x14ac:dyDescent="0.25">
      <c r="B29" s="18"/>
    </row>
    <row r="30" spans="2:13" x14ac:dyDescent="0.25">
      <c r="B30" s="18"/>
    </row>
    <row r="31" spans="2:13" x14ac:dyDescent="0.25">
      <c r="B31" s="18"/>
    </row>
    <row r="32" spans="2:13" x14ac:dyDescent="0.25">
      <c r="B32" s="18"/>
    </row>
    <row r="33" spans="2:4" x14ac:dyDescent="0.25">
      <c r="B33" s="18"/>
    </row>
    <row r="34" spans="2:4" x14ac:dyDescent="0.25">
      <c r="B34" s="18"/>
      <c r="D34" s="5"/>
    </row>
    <row r="35" spans="2:4" x14ac:dyDescent="0.25">
      <c r="B35" s="18"/>
    </row>
    <row r="36" spans="2:4" x14ac:dyDescent="0.25">
      <c r="B36" s="18"/>
    </row>
    <row r="37" spans="2:4" x14ac:dyDescent="0.25">
      <c r="B37" s="18"/>
    </row>
    <row r="38" spans="2:4" x14ac:dyDescent="0.25">
      <c r="B38" s="18"/>
    </row>
  </sheetData>
  <mergeCells count="3">
    <mergeCell ref="B2:B5"/>
    <mergeCell ref="C2:L3"/>
    <mergeCell ref="M2:M5"/>
  </mergeCells>
  <phoneticPr fontId="3" type="noConversion"/>
  <printOptions headings="1" gridLine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06A59-9672-4187-B1BD-191ABE1B00DA}">
  <sheetPr codeName="Sheet5">
    <tabColor theme="4" tint="0.39997558519241921"/>
  </sheetPr>
  <dimension ref="B2:M38"/>
  <sheetViews>
    <sheetView zoomScale="91" workbookViewId="0">
      <selection activeCell="C5" sqref="C5"/>
    </sheetView>
  </sheetViews>
  <sheetFormatPr defaultColWidth="8.85546875" defaultRowHeight="15" x14ac:dyDescent="0.25"/>
  <cols>
    <col min="2" max="2" width="10" bestFit="1" customWidth="1"/>
  </cols>
  <sheetData>
    <row r="2" spans="2:13" ht="15" customHeight="1" x14ac:dyDescent="0.25">
      <c r="B2" s="49" t="s">
        <v>0</v>
      </c>
      <c r="C2" s="51" t="s">
        <v>1164</v>
      </c>
      <c r="D2" s="51"/>
      <c r="E2" s="51"/>
      <c r="F2" s="51"/>
      <c r="G2" s="51"/>
      <c r="H2" s="51"/>
      <c r="I2" s="51"/>
      <c r="J2" s="51"/>
      <c r="K2" s="51"/>
      <c r="L2" s="51"/>
      <c r="M2" s="53" t="s">
        <v>7</v>
      </c>
    </row>
    <row r="3" spans="2:13" x14ac:dyDescent="0.25">
      <c r="B3" s="49"/>
      <c r="C3" s="52"/>
      <c r="D3" s="52"/>
      <c r="E3" s="52"/>
      <c r="F3" s="52"/>
      <c r="G3" s="52"/>
      <c r="H3" s="52"/>
      <c r="I3" s="52"/>
      <c r="J3" s="52"/>
      <c r="K3" s="52"/>
      <c r="L3" s="52"/>
      <c r="M3" s="54"/>
    </row>
    <row r="4" spans="2:13" x14ac:dyDescent="0.25">
      <c r="B4" s="49"/>
      <c r="C4" s="21" t="s">
        <v>1</v>
      </c>
      <c r="D4" s="21" t="s">
        <v>777</v>
      </c>
      <c r="E4" s="21" t="s">
        <v>5</v>
      </c>
      <c r="F4" s="21" t="s">
        <v>1167</v>
      </c>
      <c r="G4" s="21" t="s">
        <v>1168</v>
      </c>
      <c r="H4" s="21" t="s">
        <v>26</v>
      </c>
      <c r="I4" s="21" t="s">
        <v>30</v>
      </c>
      <c r="J4" s="21" t="s">
        <v>674</v>
      </c>
      <c r="K4" s="21" t="s">
        <v>1169</v>
      </c>
      <c r="L4" s="21" t="s">
        <v>1170</v>
      </c>
      <c r="M4" s="54"/>
    </row>
    <row r="5" spans="2:13" x14ac:dyDescent="0.25">
      <c r="B5" s="50"/>
      <c r="C5" s="22" t="s">
        <v>1145</v>
      </c>
      <c r="D5" s="22" t="s">
        <v>1147</v>
      </c>
      <c r="E5" s="22" t="s">
        <v>1156</v>
      </c>
      <c r="F5" s="22" t="s">
        <v>1157</v>
      </c>
      <c r="G5" s="22" t="s">
        <v>1158</v>
      </c>
      <c r="H5" s="22" t="s">
        <v>1159</v>
      </c>
      <c r="I5" s="22" t="s">
        <v>1160</v>
      </c>
      <c r="J5" s="22" t="s">
        <v>1161</v>
      </c>
      <c r="K5" s="22" t="s">
        <v>1162</v>
      </c>
      <c r="L5" s="22" t="s">
        <v>1163</v>
      </c>
      <c r="M5" s="55"/>
    </row>
    <row r="6" spans="2:13" x14ac:dyDescent="0.25">
      <c r="B6" s="13">
        <v>44958</v>
      </c>
      <c r="C6" s="9">
        <v>145.42999267578119</v>
      </c>
      <c r="D6" s="9">
        <v>252.75</v>
      </c>
      <c r="E6" s="9">
        <v>164.91999816894531</v>
      </c>
      <c r="F6" cm="1">
        <f t="array" ref="F6:F18">Price_Data!NP5:NP17</f>
        <v>92.080001831054688</v>
      </c>
      <c r="G6" cm="1">
        <f t="array" ref="G6:G18">Price_Data!DO5:DO17</f>
        <v>61.330001831054688</v>
      </c>
      <c r="H6" s="9">
        <v>171.55999755859381</v>
      </c>
      <c r="I6" s="9">
        <v>114.7399978637695</v>
      </c>
      <c r="J6" s="9">
        <v>139.5899963378906</v>
      </c>
      <c r="K6" cm="1">
        <f t="array" ref="K6:K18">Price_Data!QY5:QY17</f>
        <v>41.689998626708977</v>
      </c>
      <c r="L6" cm="1">
        <f t="array" ref="L6:L18">Price_Data!RI5:RI17</f>
        <v>48.223331451416023</v>
      </c>
      <c r="M6" s="7">
        <v>376.35</v>
      </c>
    </row>
    <row r="7" spans="2:13" x14ac:dyDescent="0.25">
      <c r="B7" s="13">
        <v>44986</v>
      </c>
      <c r="C7" s="10">
        <v>145.30999755859381</v>
      </c>
      <c r="D7" s="10">
        <v>246.27000427246091</v>
      </c>
      <c r="E7" s="10">
        <v>152.57000732421881</v>
      </c>
      <c r="F7">
        <v>91.230003356933594</v>
      </c>
      <c r="G7">
        <v>58.860000610351563</v>
      </c>
      <c r="H7" s="10">
        <v>171.33000183105469</v>
      </c>
      <c r="I7" s="10">
        <v>110.88999938964839</v>
      </c>
      <c r="J7" s="10">
        <v>142.55000305175781</v>
      </c>
      <c r="K7">
        <v>38.299999237060547</v>
      </c>
      <c r="L7">
        <v>46.716667175292969</v>
      </c>
      <c r="M7" s="7">
        <v>367.15</v>
      </c>
    </row>
    <row r="8" spans="2:13" x14ac:dyDescent="0.25">
      <c r="B8" s="13">
        <v>45017</v>
      </c>
      <c r="C8" s="10">
        <v>166.16999816894531</v>
      </c>
      <c r="D8" s="10">
        <v>287.23001098632813</v>
      </c>
      <c r="E8" s="10">
        <v>156.8500061035156</v>
      </c>
      <c r="F8">
        <v>73.639999389648438</v>
      </c>
      <c r="G8">
        <v>62.400001525878913</v>
      </c>
      <c r="H8" s="10">
        <v>182.5</v>
      </c>
      <c r="I8" s="10">
        <v>116.129997253418</v>
      </c>
      <c r="J8" s="10">
        <v>130.1600036621094</v>
      </c>
      <c r="K8">
        <v>39.220001220703118</v>
      </c>
      <c r="L8">
        <v>49.563331604003913</v>
      </c>
      <c r="M8" s="7">
        <v>379.07</v>
      </c>
    </row>
    <row r="9" spans="2:13" x14ac:dyDescent="0.25">
      <c r="B9" s="13">
        <v>45047</v>
      </c>
      <c r="C9" s="10">
        <v>169.5899963378906</v>
      </c>
      <c r="D9" s="10">
        <v>305.55999755859381</v>
      </c>
      <c r="E9" s="10">
        <v>163.6000061035156</v>
      </c>
      <c r="F9">
        <v>73.980003356933594</v>
      </c>
      <c r="G9">
        <v>64.300003051757813</v>
      </c>
      <c r="H9" s="10">
        <v>191.67999267578119</v>
      </c>
      <c r="I9" s="10">
        <v>114.6699981689453</v>
      </c>
      <c r="J9" s="10">
        <v>141.19999694824219</v>
      </c>
      <c r="K9">
        <v>38.709999084472663</v>
      </c>
      <c r="L9">
        <v>50.529998779296882</v>
      </c>
      <c r="M9" s="7">
        <v>384.97</v>
      </c>
    </row>
    <row r="10" spans="2:13" x14ac:dyDescent="0.25">
      <c r="B10" s="13">
        <v>45078</v>
      </c>
      <c r="C10" s="10">
        <v>180.0899963378906</v>
      </c>
      <c r="D10" s="10">
        <v>332.57998657226563</v>
      </c>
      <c r="E10" s="10">
        <v>154.53999328613281</v>
      </c>
      <c r="F10">
        <v>66.980003356933594</v>
      </c>
      <c r="G10">
        <v>60</v>
      </c>
      <c r="H10" s="10">
        <v>182.19000244140619</v>
      </c>
      <c r="I10" s="10">
        <v>103.36000061035161</v>
      </c>
      <c r="J10" s="10">
        <v>137.58000183105469</v>
      </c>
      <c r="K10">
        <v>35.720001220703118</v>
      </c>
      <c r="L10">
        <v>49.136665344238281</v>
      </c>
      <c r="M10" s="7">
        <v>386.63</v>
      </c>
    </row>
    <row r="11" spans="2:13" x14ac:dyDescent="0.25">
      <c r="B11" s="13">
        <v>45108</v>
      </c>
      <c r="C11" s="10">
        <v>192.46000671386719</v>
      </c>
      <c r="D11" s="10">
        <v>337.989990234375</v>
      </c>
      <c r="E11" s="10">
        <v>163.3500061035156</v>
      </c>
      <c r="F11">
        <v>76.589996337890625</v>
      </c>
      <c r="G11">
        <v>60.580001831054688</v>
      </c>
      <c r="H11" s="10">
        <v>185.6000061035156</v>
      </c>
      <c r="I11" s="10">
        <v>107.4599990844727</v>
      </c>
      <c r="J11" s="10">
        <v>146.61000061035159</v>
      </c>
      <c r="K11">
        <v>37.279998779296882</v>
      </c>
      <c r="L11">
        <v>52.733333587646477</v>
      </c>
      <c r="M11" s="7">
        <v>410.56</v>
      </c>
    </row>
    <row r="12" spans="2:13" x14ac:dyDescent="0.25">
      <c r="B12" s="13">
        <v>45139</v>
      </c>
      <c r="C12" s="10">
        <v>195.61000061035159</v>
      </c>
      <c r="D12" s="10">
        <v>336.33999633789063</v>
      </c>
      <c r="E12" s="10">
        <v>168.88999938964841</v>
      </c>
      <c r="F12">
        <v>79.089996337890625</v>
      </c>
      <c r="G12">
        <v>61.770000457763672</v>
      </c>
      <c r="H12" s="10">
        <v>186.82000732421881</v>
      </c>
      <c r="I12" s="10">
        <v>106.620002746582</v>
      </c>
      <c r="J12" s="10">
        <v>157.17999267578119</v>
      </c>
      <c r="K12">
        <v>33.430000305175781</v>
      </c>
      <c r="L12">
        <v>53.036666870117188</v>
      </c>
      <c r="M12" s="7">
        <v>423.73</v>
      </c>
    </row>
    <row r="13" spans="2:13" x14ac:dyDescent="0.25">
      <c r="B13" s="13">
        <v>45170</v>
      </c>
      <c r="C13" s="10">
        <v>189.46000671386719</v>
      </c>
      <c r="D13" s="10">
        <v>328.66000366210938</v>
      </c>
      <c r="E13" s="10">
        <v>160.47999572753909</v>
      </c>
      <c r="F13">
        <v>78.430000305175781</v>
      </c>
      <c r="G13">
        <v>59.310001373291023</v>
      </c>
      <c r="H13" s="10">
        <v>175.32000732421881</v>
      </c>
      <c r="I13" s="10">
        <v>113.51999664306641</v>
      </c>
      <c r="J13" s="10">
        <v>146.82000732421881</v>
      </c>
      <c r="K13">
        <v>34.860000610351563</v>
      </c>
      <c r="L13">
        <v>53.856666564941413</v>
      </c>
      <c r="M13" s="7">
        <v>416.98</v>
      </c>
    </row>
    <row r="14" spans="2:13" x14ac:dyDescent="0.25">
      <c r="B14" s="13">
        <v>45200</v>
      </c>
      <c r="C14" s="10">
        <v>173.75</v>
      </c>
      <c r="D14" s="10">
        <v>321.79998779296881</v>
      </c>
      <c r="E14" s="10">
        <v>155.1499938964844</v>
      </c>
      <c r="F14">
        <v>70.209999084472656</v>
      </c>
      <c r="G14">
        <v>55.479999542236328</v>
      </c>
      <c r="H14" s="10">
        <v>169.16999816894531</v>
      </c>
      <c r="I14" s="10">
        <v>115.629997253418</v>
      </c>
      <c r="J14" s="10">
        <v>143.77000427246091</v>
      </c>
      <c r="K14">
        <v>31.760000228881839</v>
      </c>
      <c r="L14">
        <v>53.366668701171882</v>
      </c>
      <c r="M14" s="7">
        <v>395.59</v>
      </c>
    </row>
    <row r="15" spans="2:13" x14ac:dyDescent="0.25">
      <c r="B15" s="13">
        <v>45231</v>
      </c>
      <c r="C15" s="10">
        <v>173.9700012207031</v>
      </c>
      <c r="D15" s="10">
        <v>346.07000732421881</v>
      </c>
      <c r="E15" s="10">
        <v>148.69000244140619</v>
      </c>
      <c r="F15">
        <v>67.260002136230469</v>
      </c>
      <c r="G15">
        <v>56.439998626708977</v>
      </c>
      <c r="H15" s="10">
        <v>164.8699951171875</v>
      </c>
      <c r="I15" s="10">
        <v>105.63999938964839</v>
      </c>
      <c r="J15" s="10">
        <v>138.94000244140619</v>
      </c>
      <c r="K15">
        <v>35.400001525878913</v>
      </c>
      <c r="L15">
        <v>54.956668853759773</v>
      </c>
      <c r="M15" s="7">
        <v>387.26</v>
      </c>
    </row>
    <row r="16" spans="2:13" x14ac:dyDescent="0.25">
      <c r="B16" s="13">
        <v>45261</v>
      </c>
      <c r="C16" s="10">
        <v>191.24000549316409</v>
      </c>
      <c r="D16" s="10">
        <v>374.510009765625</v>
      </c>
      <c r="E16" s="10">
        <v>158.3800048828125</v>
      </c>
      <c r="F16">
        <v>74.529998779296875</v>
      </c>
      <c r="G16">
        <v>58.639999389648438</v>
      </c>
      <c r="H16" s="10">
        <v>168.69000244140619</v>
      </c>
      <c r="I16" s="10">
        <v>102.9899978637695</v>
      </c>
      <c r="J16" s="10">
        <v>156.8399963378906</v>
      </c>
      <c r="K16">
        <v>38.580001831054688</v>
      </c>
      <c r="L16">
        <v>51.446666717529297</v>
      </c>
      <c r="M16" s="7">
        <v>422.61</v>
      </c>
    </row>
    <row r="17" spans="2:13" x14ac:dyDescent="0.25">
      <c r="B17" s="13">
        <v>45292</v>
      </c>
      <c r="C17" s="10">
        <v>185.63999938964841</v>
      </c>
      <c r="D17" s="10">
        <v>370.8699951171875</v>
      </c>
      <c r="E17" s="10">
        <v>159.9700012207031</v>
      </c>
      <c r="F17">
        <v>79.110000610351563</v>
      </c>
      <c r="G17">
        <v>59.819999694824219</v>
      </c>
      <c r="H17" s="10">
        <v>172.9100036621094</v>
      </c>
      <c r="I17" s="10">
        <v>102.36000061035161</v>
      </c>
      <c r="J17" s="10">
        <v>172.08000183105469</v>
      </c>
      <c r="K17">
        <v>38.880001068115227</v>
      </c>
      <c r="L17">
        <v>53.096668243408203</v>
      </c>
      <c r="M17" s="7">
        <v>439.99</v>
      </c>
    </row>
    <row r="18" spans="2:13" x14ac:dyDescent="0.25">
      <c r="B18" s="14">
        <v>45323</v>
      </c>
      <c r="C18" s="11">
        <v>186.86000061035159</v>
      </c>
      <c r="D18" s="11">
        <v>403.77999877929688</v>
      </c>
      <c r="E18" s="11">
        <v>158.36000061035159</v>
      </c>
      <c r="F18" s="20">
        <v>77.730003356933594</v>
      </c>
      <c r="G18" s="20">
        <v>60.979999542236328</v>
      </c>
      <c r="H18" s="11">
        <v>171.69999694824219</v>
      </c>
      <c r="I18" s="11">
        <v>102.38999938964839</v>
      </c>
      <c r="J18" s="11">
        <v>173.72999572753909</v>
      </c>
      <c r="K18" s="20">
        <v>42.490001678466797</v>
      </c>
      <c r="L18" s="20">
        <v>56.10333251953125</v>
      </c>
      <c r="M18" s="8">
        <v>447.36</v>
      </c>
    </row>
    <row r="23" spans="2:13" x14ac:dyDescent="0.25">
      <c r="D23" s="3"/>
      <c r="E23" s="3"/>
      <c r="F23" s="3"/>
      <c r="G23" s="3"/>
      <c r="H23" s="3"/>
      <c r="I23" s="3"/>
      <c r="J23" s="3"/>
    </row>
    <row r="24" spans="2:13" x14ac:dyDescent="0.25">
      <c r="D24" s="3"/>
      <c r="E24" s="3"/>
      <c r="F24" s="3"/>
      <c r="G24" s="3"/>
      <c r="H24" s="3"/>
      <c r="I24" s="3"/>
      <c r="J24" s="3"/>
    </row>
    <row r="25" spans="2:13" x14ac:dyDescent="0.25">
      <c r="B25" s="1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2:13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2:13" x14ac:dyDescent="0.25">
      <c r="B27" s="18"/>
    </row>
    <row r="28" spans="2:13" x14ac:dyDescent="0.25">
      <c r="B28" s="18"/>
    </row>
    <row r="29" spans="2:13" x14ac:dyDescent="0.25">
      <c r="B29" s="18"/>
    </row>
    <row r="30" spans="2:13" x14ac:dyDescent="0.25">
      <c r="B30" s="18"/>
    </row>
    <row r="31" spans="2:13" x14ac:dyDescent="0.25">
      <c r="B31" s="18"/>
    </row>
    <row r="32" spans="2:13" x14ac:dyDescent="0.25">
      <c r="B32" s="18"/>
    </row>
    <row r="33" spans="2:4" x14ac:dyDescent="0.25">
      <c r="B33" s="18"/>
    </row>
    <row r="34" spans="2:4" x14ac:dyDescent="0.25">
      <c r="B34" s="18"/>
      <c r="D34" s="5"/>
    </row>
    <row r="35" spans="2:4" x14ac:dyDescent="0.25">
      <c r="B35" s="18"/>
    </row>
    <row r="36" spans="2:4" x14ac:dyDescent="0.25">
      <c r="B36" s="18"/>
    </row>
    <row r="37" spans="2:4" x14ac:dyDescent="0.25">
      <c r="B37" s="18"/>
    </row>
    <row r="38" spans="2:4" x14ac:dyDescent="0.25">
      <c r="B38" s="18"/>
    </row>
  </sheetData>
  <mergeCells count="3">
    <mergeCell ref="B2:B5"/>
    <mergeCell ref="C2:L3"/>
    <mergeCell ref="M2:M5"/>
  </mergeCells>
  <printOptions headings="1" gridLine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59999389629810485"/>
  </sheetPr>
  <dimension ref="A1:M64"/>
  <sheetViews>
    <sheetView tabSelected="1" zoomScale="82" workbookViewId="0">
      <selection activeCell="O5" sqref="O5"/>
    </sheetView>
  </sheetViews>
  <sheetFormatPr defaultColWidth="8.85546875" defaultRowHeight="15" x14ac:dyDescent="0.25"/>
  <cols>
    <col min="1" max="1" width="41" customWidth="1"/>
  </cols>
  <sheetData>
    <row r="1" spans="1:12" ht="30" x14ac:dyDescent="0.25">
      <c r="A1" s="2"/>
      <c r="B1" s="26" t="s">
        <v>1144</v>
      </c>
      <c r="C1" s="26" t="s">
        <v>1165</v>
      </c>
      <c r="D1" s="26" t="s">
        <v>1148</v>
      </c>
      <c r="E1" s="26" t="s">
        <v>1149</v>
      </c>
      <c r="F1" s="26" t="s">
        <v>1150</v>
      </c>
      <c r="G1" s="26" t="s">
        <v>1151</v>
      </c>
      <c r="H1" s="26" t="s">
        <v>1152</v>
      </c>
      <c r="I1" s="26" t="s">
        <v>1153</v>
      </c>
      <c r="J1" s="26" t="s">
        <v>1154</v>
      </c>
      <c r="K1" s="26" t="s">
        <v>1155</v>
      </c>
      <c r="L1" s="49" t="s">
        <v>7</v>
      </c>
    </row>
    <row r="2" spans="1:12" x14ac:dyDescent="0.25">
      <c r="B2" s="27" t="str">
        <f>B20</f>
        <v>AAPL</v>
      </c>
      <c r="C2" s="27" t="str">
        <f t="shared" ref="C2:K2" si="0">C20</f>
        <v>MSFT</v>
      </c>
      <c r="D2" s="27" t="str">
        <f t="shared" si="0"/>
        <v>JNJ</v>
      </c>
      <c r="E2" s="27" t="str">
        <f t="shared" si="0"/>
        <v>PG</v>
      </c>
      <c r="F2" s="27" t="str">
        <f t="shared" si="0"/>
        <v>KO</v>
      </c>
      <c r="G2" s="27" t="str">
        <f t="shared" si="0"/>
        <v>PEP</v>
      </c>
      <c r="H2" s="27" t="str">
        <f t="shared" si="0"/>
        <v>XOM</v>
      </c>
      <c r="I2" s="27" t="str">
        <f t="shared" si="0"/>
        <v>JPM</v>
      </c>
      <c r="J2" s="27" t="str">
        <f t="shared" si="0"/>
        <v>VZ</v>
      </c>
      <c r="K2" s="27" t="str">
        <f t="shared" si="0"/>
        <v>WMT</v>
      </c>
      <c r="L2" s="49"/>
    </row>
    <row r="3" spans="1:12" ht="15.95" customHeight="1" x14ac:dyDescent="0.25">
      <c r="A3" s="60" t="s">
        <v>20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2"/>
    </row>
    <row r="4" spans="1:12" x14ac:dyDescent="0.25">
      <c r="A4" s="23" t="s">
        <v>11</v>
      </c>
      <c r="B4">
        <f>AVERAGE(B21:B32)</f>
        <v>2.2812152336797249E-2</v>
      </c>
      <c r="C4">
        <f t="shared" ref="C4:L4" si="1">AVERAGE(C21:C32)</f>
        <v>4.1435286024997901E-2</v>
      </c>
      <c r="D4">
        <f t="shared" si="1"/>
        <v>-2.3129426481169799E-3</v>
      </c>
      <c r="E4">
        <f t="shared" si="1"/>
        <v>-9.9166193607143314E-3</v>
      </c>
      <c r="F4">
        <f t="shared" si="1"/>
        <v>3.4580940581963585E-4</v>
      </c>
      <c r="G4">
        <f t="shared" si="1"/>
        <v>7.5597083511813514E-4</v>
      </c>
      <c r="H4">
        <f t="shared" si="1"/>
        <v>-8.3046135156784103E-3</v>
      </c>
      <c r="I4">
        <f t="shared" si="1"/>
        <v>2.0542452121764036E-2</v>
      </c>
      <c r="J4">
        <f t="shared" si="1"/>
        <v>4.3147597170101202E-3</v>
      </c>
      <c r="K4">
        <f t="shared" si="1"/>
        <v>1.3463033603295054E-2</v>
      </c>
      <c r="L4">
        <f t="shared" si="1"/>
        <v>1.5228575799004307E-2</v>
      </c>
    </row>
    <row r="5" spans="1:12" x14ac:dyDescent="0.25">
      <c r="A5" s="23" t="s">
        <v>12</v>
      </c>
      <c r="B5">
        <f>_xlfn.VAR.P(B21:B32)</f>
        <v>3.5189894389375956E-3</v>
      </c>
      <c r="C5">
        <f t="shared" ref="C5:L5" si="2">_xlfn.VAR.P(C21:C32)</f>
        <v>3.4387913958762823E-3</v>
      </c>
      <c r="D5">
        <f t="shared" si="2"/>
        <v>2.117907449540414E-3</v>
      </c>
      <c r="E5">
        <f t="shared" si="2"/>
        <v>7.9407285569503064E-3</v>
      </c>
      <c r="F5">
        <f t="shared" si="2"/>
        <v>1.6226789202651599E-3</v>
      </c>
      <c r="G5">
        <f t="shared" si="2"/>
        <v>1.3748184964328689E-3</v>
      </c>
      <c r="H5">
        <f t="shared" si="2"/>
        <v>2.2263831756264823E-3</v>
      </c>
      <c r="I5">
        <f t="shared" si="2"/>
        <v>4.3611350585936832E-3</v>
      </c>
      <c r="J5">
        <f t="shared" si="2"/>
        <v>5.4414744257373238E-3</v>
      </c>
      <c r="K5">
        <f t="shared" si="2"/>
        <v>1.5474704559558241E-3</v>
      </c>
      <c r="L5">
        <f t="shared" si="2"/>
        <v>1.4685288125867015E-3</v>
      </c>
    </row>
    <row r="6" spans="1:12" x14ac:dyDescent="0.25">
      <c r="A6" s="24" t="s">
        <v>13</v>
      </c>
      <c r="B6" s="20">
        <f>SQRT(B5)</f>
        <v>5.9321070783808307E-2</v>
      </c>
      <c r="C6" s="20">
        <f t="shared" ref="C6:L6" si="3">SQRT(C5)</f>
        <v>5.8641209024680604E-2</v>
      </c>
      <c r="D6" s="20">
        <f t="shared" si="3"/>
        <v>4.6020728476855018E-2</v>
      </c>
      <c r="E6" s="20">
        <f t="shared" si="3"/>
        <v>8.911076566246251E-2</v>
      </c>
      <c r="F6" s="20">
        <f t="shared" si="3"/>
        <v>4.0282489002855318E-2</v>
      </c>
      <c r="G6" s="20">
        <f t="shared" si="3"/>
        <v>3.7078544961107476E-2</v>
      </c>
      <c r="H6" s="20">
        <f t="shared" si="3"/>
        <v>4.7184565014700329E-2</v>
      </c>
      <c r="I6" s="20">
        <f t="shared" si="3"/>
        <v>6.603889050092894E-2</v>
      </c>
      <c r="J6" s="20">
        <f t="shared" si="3"/>
        <v>7.3766350226490973E-2</v>
      </c>
      <c r="K6" s="20">
        <f t="shared" si="3"/>
        <v>3.9337901011058329E-2</v>
      </c>
      <c r="L6" s="20">
        <f t="shared" si="3"/>
        <v>3.8321388448054716E-2</v>
      </c>
    </row>
    <row r="7" spans="1:12" ht="15.95" customHeight="1" x14ac:dyDescent="0.25">
      <c r="A7" s="60" t="s">
        <v>21</v>
      </c>
      <c r="B7" s="61"/>
      <c r="C7" s="61"/>
      <c r="D7" s="61"/>
      <c r="E7" s="61"/>
      <c r="F7" s="61"/>
      <c r="G7" s="61"/>
      <c r="H7" s="61"/>
      <c r="I7" s="61"/>
      <c r="J7" s="61"/>
      <c r="K7" s="61"/>
      <c r="L7" s="62"/>
    </row>
    <row r="8" spans="1:12" x14ac:dyDescent="0.25">
      <c r="A8" s="23" t="s">
        <v>11</v>
      </c>
      <c r="B8">
        <f>B4*12</f>
        <v>0.273745828041567</v>
      </c>
      <c r="C8">
        <f t="shared" ref="C8:L8" si="4">C4*12</f>
        <v>0.49722343229997479</v>
      </c>
      <c r="D8">
        <f t="shared" si="4"/>
        <v>-2.7755311777403757E-2</v>
      </c>
      <c r="E8">
        <f t="shared" si="4"/>
        <v>-0.11899943232857198</v>
      </c>
      <c r="F8">
        <f t="shared" si="4"/>
        <v>4.1497128698356305E-3</v>
      </c>
      <c r="G8">
        <f t="shared" si="4"/>
        <v>9.0716500214176217E-3</v>
      </c>
      <c r="H8">
        <f t="shared" si="4"/>
        <v>-9.9655362188140917E-2</v>
      </c>
      <c r="I8">
        <f t="shared" si="4"/>
        <v>0.24650942546116844</v>
      </c>
      <c r="J8">
        <f t="shared" si="4"/>
        <v>5.1777116604121445E-2</v>
      </c>
      <c r="K8">
        <f t="shared" si="4"/>
        <v>0.16155640323954065</v>
      </c>
      <c r="L8">
        <f t="shared" si="4"/>
        <v>0.18274290958805167</v>
      </c>
    </row>
    <row r="9" spans="1:12" x14ac:dyDescent="0.25">
      <c r="A9" s="23" t="s">
        <v>12</v>
      </c>
      <c r="B9">
        <f>B5*12</f>
        <v>4.2227873267251151E-2</v>
      </c>
      <c r="C9">
        <f t="shared" ref="C9:L9" si="5">C5*12</f>
        <v>4.1265496750515385E-2</v>
      </c>
      <c r="D9">
        <f t="shared" si="5"/>
        <v>2.5414889394484969E-2</v>
      </c>
      <c r="E9">
        <f t="shared" si="5"/>
        <v>9.5288742683403677E-2</v>
      </c>
      <c r="F9">
        <f t="shared" si="5"/>
        <v>1.9472147043181919E-2</v>
      </c>
      <c r="G9">
        <f t="shared" si="5"/>
        <v>1.6497821957194427E-2</v>
      </c>
      <c r="H9">
        <f t="shared" si="5"/>
        <v>2.6716598107517787E-2</v>
      </c>
      <c r="I9">
        <f t="shared" si="5"/>
        <v>5.2333620703124195E-2</v>
      </c>
      <c r="J9">
        <f t="shared" si="5"/>
        <v>6.5297693108847893E-2</v>
      </c>
      <c r="K9">
        <f t="shared" si="5"/>
        <v>1.856964547146989E-2</v>
      </c>
      <c r="L9">
        <f t="shared" si="5"/>
        <v>1.7622345751040418E-2</v>
      </c>
    </row>
    <row r="10" spans="1:12" x14ac:dyDescent="0.25">
      <c r="A10" s="24" t="s">
        <v>13</v>
      </c>
      <c r="B10" s="20">
        <f>B6*SQRT(12)</f>
        <v>0.2054942171138914</v>
      </c>
      <c r="C10" s="20">
        <f t="shared" ref="C10:L10" si="6">C6*SQRT(12)</f>
        <v>0.20313910689602674</v>
      </c>
      <c r="D10" s="20">
        <f t="shared" si="6"/>
        <v>0.15942047984648952</v>
      </c>
      <c r="E10" s="20">
        <f t="shared" si="6"/>
        <v>0.30868874725749834</v>
      </c>
      <c r="F10" s="20">
        <f t="shared" si="6"/>
        <v>0.13954263521655993</v>
      </c>
      <c r="G10" s="20">
        <f t="shared" si="6"/>
        <v>0.12844384748673024</v>
      </c>
      <c r="H10" s="20">
        <f t="shared" si="6"/>
        <v>0.16345212787699578</v>
      </c>
      <c r="I10" s="20">
        <f t="shared" si="6"/>
        <v>0.22876542724617324</v>
      </c>
      <c r="J10" s="20">
        <f t="shared" si="6"/>
        <v>0.25553413296240463</v>
      </c>
      <c r="K10" s="20">
        <f t="shared" si="6"/>
        <v>0.13627048642853626</v>
      </c>
      <c r="L10" s="20">
        <f t="shared" si="6"/>
        <v>0.13274918361722762</v>
      </c>
    </row>
    <row r="12" spans="1:12" x14ac:dyDescent="0.25">
      <c r="A12" s="63" t="s">
        <v>14</v>
      </c>
      <c r="B12" s="57"/>
    </row>
    <row r="13" spans="1:12" x14ac:dyDescent="0.25">
      <c r="A13" s="23" t="s">
        <v>15</v>
      </c>
      <c r="B13" s="25">
        <f>regression!B17</f>
        <v>-1.8468196564167906E-2</v>
      </c>
    </row>
    <row r="14" spans="1:12" x14ac:dyDescent="0.25">
      <c r="A14" s="23" t="s">
        <v>16</v>
      </c>
      <c r="B14" s="25">
        <f>regression!B18</f>
        <v>2.8440456087073487E-2</v>
      </c>
    </row>
    <row r="15" spans="1:12" x14ac:dyDescent="0.25">
      <c r="A15" s="23" t="s">
        <v>17</v>
      </c>
      <c r="B15" s="25">
        <f>regression!B5</f>
        <v>0.13888639993711313</v>
      </c>
    </row>
    <row r="16" spans="1:12" x14ac:dyDescent="0.25">
      <c r="A16" s="23" t="s">
        <v>18</v>
      </c>
      <c r="B16" s="25">
        <f>regression!D17</f>
        <v>-0.69504386468752677</v>
      </c>
    </row>
    <row r="17" spans="1:12" x14ac:dyDescent="0.25">
      <c r="A17" s="24" t="s">
        <v>19</v>
      </c>
      <c r="B17" s="28">
        <f>regression!D18</f>
        <v>1.1359118486991706</v>
      </c>
    </row>
    <row r="19" spans="1:12" x14ac:dyDescent="0.25">
      <c r="A19" s="64" t="s">
        <v>0</v>
      </c>
      <c r="B19" s="58" t="s">
        <v>22</v>
      </c>
      <c r="C19" s="58"/>
      <c r="D19" s="58"/>
      <c r="E19" s="58"/>
      <c r="F19" s="58"/>
      <c r="G19" s="58"/>
      <c r="H19" s="58"/>
      <c r="I19" s="58"/>
      <c r="J19" s="58"/>
      <c r="K19" s="58"/>
      <c r="L19" s="59"/>
    </row>
    <row r="20" spans="1:12" x14ac:dyDescent="0.25">
      <c r="A20" s="65"/>
      <c r="B20" s="29" t="str">
        <f>Portfolio_BestFund!C4</f>
        <v>AAPL</v>
      </c>
      <c r="C20" s="29" t="str">
        <f>Portfolio_BestFund!D4</f>
        <v>MSFT</v>
      </c>
      <c r="D20" s="29" t="str">
        <f>Portfolio_BestFund!E4</f>
        <v>JNJ</v>
      </c>
      <c r="E20" s="29" t="str">
        <f>Portfolio_BestFund!F4</f>
        <v>PG</v>
      </c>
      <c r="F20" s="29" t="str">
        <f>Portfolio_BestFund!G4</f>
        <v>KO</v>
      </c>
      <c r="G20" s="29" t="str">
        <f>Portfolio_BestFund!H4</f>
        <v>PEP</v>
      </c>
      <c r="H20" s="29" t="str">
        <f>Portfolio_BestFund!I4</f>
        <v>XOM</v>
      </c>
      <c r="I20" s="29" t="str">
        <f>Portfolio_BestFund!J4</f>
        <v>JPM</v>
      </c>
      <c r="J20" s="29" t="str">
        <f>Portfolio_BestFund!K4</f>
        <v>VZ</v>
      </c>
      <c r="K20" s="29" t="str">
        <f>Portfolio_BestFund!L4</f>
        <v>WMT</v>
      </c>
      <c r="L20" s="30" t="s">
        <v>7</v>
      </c>
    </row>
    <row r="21" spans="1:12" x14ac:dyDescent="0.25">
      <c r="A21" s="13">
        <v>44986</v>
      </c>
      <c r="B21">
        <f>(Portfolio_BestFund!C7-Portfolio_BestFund!C6)/Portfolio_BestFund!C6</f>
        <v>-8.2510570879901711E-4</v>
      </c>
      <c r="C21">
        <f>(Portfolio_BestFund!D7-Portfolio_BestFund!D6)/Portfolio_BestFund!D6</f>
        <v>-2.563796529194497E-2</v>
      </c>
      <c r="D21">
        <f>(Portfolio_BestFund!E7-Portfolio_BestFund!E6)/Portfolio_BestFund!E6</f>
        <v>-7.488473794472808E-2</v>
      </c>
      <c r="E21">
        <f>(Portfolio_BestFund!F7-Portfolio_BestFund!F6)/Portfolio_BestFund!F6</f>
        <v>-9.2310866335628718E-3</v>
      </c>
      <c r="F21">
        <f>(Portfolio_BestFund!G7-Portfolio_BestFund!G6)/Portfolio_BestFund!G6</f>
        <v>-4.027394663230599E-2</v>
      </c>
      <c r="G21">
        <f>(Portfolio_BestFund!H7-Portfolio_BestFund!H6)/Portfolio_BestFund!H6</f>
        <v>-1.340613959035338E-3</v>
      </c>
      <c r="H21">
        <f>(Portfolio_BestFund!I7-Portfolio_BestFund!I6)/Portfolio_BestFund!I6</f>
        <v>-3.3554109689736974E-2</v>
      </c>
      <c r="I21">
        <f>(Portfolio_BestFund!J7-Portfolio_BestFund!J6)/Portfolio_BestFund!J6</f>
        <v>2.1205006028528317E-2</v>
      </c>
      <c r="J21">
        <f>(Portfolio_BestFund!K7-Portfolio_BestFund!K6)/Portfolio_BestFund!K6</f>
        <v>-8.1314451938518523E-2</v>
      </c>
      <c r="K21">
        <f>(Portfolio_BestFund!L7-Portfolio_BestFund!L6)/Portfolio_BestFund!L6</f>
        <v>-3.1243471381503081E-2</v>
      </c>
      <c r="L21">
        <f>(Portfolio_BestFund!M7-Portfolio_BestFund!M6)/Portfolio_BestFund!M6</f>
        <v>-2.4445330144812129E-2</v>
      </c>
    </row>
    <row r="22" spans="1:12" x14ac:dyDescent="0.25">
      <c r="A22" s="13">
        <v>45017</v>
      </c>
      <c r="B22">
        <f>(Portfolio_BestFund!C8-Portfolio_BestFund!C7)/Portfolio_BestFund!C7</f>
        <v>0.14355516455046435</v>
      </c>
      <c r="C22">
        <f>(Portfolio_BestFund!D8-Portfolio_BestFund!D7)/Portfolio_BestFund!D7</f>
        <v>0.16632154141091052</v>
      </c>
      <c r="D22">
        <f>(Portfolio_BestFund!E8-Portfolio_BestFund!E7)/Portfolio_BestFund!E7</f>
        <v>2.8052687775006663E-2</v>
      </c>
      <c r="E22">
        <f>(Portfolio_BestFund!F8-Portfolio_BestFund!F7)/Portfolio_BestFund!F7</f>
        <v>-0.1928094192703797</v>
      </c>
      <c r="F22">
        <f>(Portfolio_BestFund!G8-Portfolio_BestFund!G7)/Portfolio_BestFund!G7</f>
        <v>6.0142726449526736E-2</v>
      </c>
      <c r="G22">
        <f>(Portfolio_BestFund!H8-Portfolio_BestFund!H7)/Portfolio_BestFund!H7</f>
        <v>6.5195809546303746E-2</v>
      </c>
      <c r="H22">
        <f>(Portfolio_BestFund!I8-Portfolio_BestFund!I7)/Portfolio_BestFund!I7</f>
        <v>4.7254016526388019E-2</v>
      </c>
      <c r="I22">
        <f>(Portfolio_BestFund!J8-Portfolio_BestFund!J7)/Portfolio_BestFund!J7</f>
        <v>-8.6916865130825582E-2</v>
      </c>
      <c r="J22">
        <f>(Portfolio_BestFund!K8-Portfolio_BestFund!K7)/Portfolio_BestFund!K7</f>
        <v>2.4020939999193049E-2</v>
      </c>
      <c r="K22">
        <f>(Portfolio_BestFund!L8-Portfolio_BestFund!L7)/Portfolio_BestFund!L7</f>
        <v>6.0934664239414307E-2</v>
      </c>
      <c r="L22">
        <f>(Portfolio_BestFund!M8-Portfolio_BestFund!M7)/Portfolio_BestFund!M7</f>
        <v>3.2466294430069501E-2</v>
      </c>
    </row>
    <row r="23" spans="1:12" x14ac:dyDescent="0.25">
      <c r="A23" s="13">
        <v>45047</v>
      </c>
      <c r="B23">
        <f>(Portfolio_BestFund!C9-Portfolio_BestFund!C8)/Portfolio_BestFund!C8</f>
        <v>2.0581321578087557E-2</v>
      </c>
      <c r="C23">
        <f>(Portfolio_BestFund!D9-Portfolio_BestFund!D8)/Portfolio_BestFund!D8</f>
        <v>6.3816404523057202E-2</v>
      </c>
      <c r="D23">
        <f>(Portfolio_BestFund!E9-Portfolio_BestFund!E8)/Portfolio_BestFund!E8</f>
        <v>4.303474489854487E-2</v>
      </c>
      <c r="E23">
        <f>(Portfolio_BestFund!F9-Portfolio_BestFund!F8)/Portfolio_BestFund!F8</f>
        <v>4.6171098601740426E-3</v>
      </c>
      <c r="F23">
        <f>(Portfolio_BestFund!G9-Portfolio_BestFund!G8)/Portfolio_BestFund!G8</f>
        <v>3.0448741657336638E-2</v>
      </c>
      <c r="G23">
        <f>(Portfolio_BestFund!H9-Portfolio_BestFund!H8)/Portfolio_BestFund!H8</f>
        <v>5.030132973030791E-2</v>
      </c>
      <c r="H23">
        <f>(Portfolio_BestFund!I9-Portfolio_BestFund!I8)/Portfolio_BestFund!I8</f>
        <v>-1.2572109868277186E-2</v>
      </c>
      <c r="I23">
        <f>(Portfolio_BestFund!J9-Portfolio_BestFund!J8)/Portfolio_BestFund!J8</f>
        <v>8.4818630727701891E-2</v>
      </c>
      <c r="J23">
        <f>(Portfolio_BestFund!K9-Portfolio_BestFund!K8)/Portfolio_BestFund!K8</f>
        <v>-1.3003623670496955E-2</v>
      </c>
      <c r="K23">
        <f>(Portfolio_BestFund!L9-Portfolio_BestFund!L8)/Portfolio_BestFund!L8</f>
        <v>1.9503676286661845E-2</v>
      </c>
      <c r="L23">
        <f>(Portfolio_BestFund!M9-Portfolio_BestFund!M8)/Portfolio_BestFund!M8</f>
        <v>1.5564407629197865E-2</v>
      </c>
    </row>
    <row r="24" spans="1:12" x14ac:dyDescent="0.25">
      <c r="A24" s="13">
        <v>45078</v>
      </c>
      <c r="B24">
        <f>(Portfolio_BestFund!C10-Portfolio_BestFund!C9)/Portfolio_BestFund!C9</f>
        <v>6.1914029286726513E-2</v>
      </c>
      <c r="C24">
        <f>(Portfolio_BestFund!D10-Portfolio_BestFund!D9)/Portfolio_BestFund!D9</f>
        <v>8.8427769438277001E-2</v>
      </c>
      <c r="D24">
        <f>(Portfolio_BestFund!E10-Portfolio_BestFund!E9)/Portfolio_BestFund!E9</f>
        <v>-5.537904938493822E-2</v>
      </c>
      <c r="E24">
        <f>(Portfolio_BestFund!F10-Portfolio_BestFund!F9)/Portfolio_BestFund!F9</f>
        <v>-9.4620163319361919E-2</v>
      </c>
      <c r="F24">
        <f>(Portfolio_BestFund!G10-Portfolio_BestFund!G9)/Portfolio_BestFund!G9</f>
        <v>-6.6874072281093933E-2</v>
      </c>
      <c r="G24">
        <f>(Portfolio_BestFund!H10-Portfolio_BestFund!H9)/Portfolio_BestFund!H9</f>
        <v>-4.9509550276470048E-2</v>
      </c>
      <c r="H24">
        <f>(Portfolio_BestFund!I10-Portfolio_BestFund!I9)/Portfolio_BestFund!I9</f>
        <v>-9.8630834038476889E-2</v>
      </c>
      <c r="I24">
        <f>(Portfolio_BestFund!J10-Portfolio_BestFund!J9)/Portfolio_BestFund!J9</f>
        <v>-2.5637359740980969E-2</v>
      </c>
      <c r="J24">
        <f>(Portfolio_BestFund!K10-Portfolio_BestFund!K9)/Portfolio_BestFund!K9</f>
        <v>-7.7240969632801984E-2</v>
      </c>
      <c r="K24">
        <f>(Portfolio_BestFund!L10-Portfolio_BestFund!L9)/Portfolio_BestFund!L9</f>
        <v>-2.7574380936448321E-2</v>
      </c>
      <c r="L24">
        <f>(Portfolio_BestFund!M10-Portfolio_BestFund!M9)/Portfolio_BestFund!M9</f>
        <v>4.3120243135827937E-3</v>
      </c>
    </row>
    <row r="25" spans="1:12" x14ac:dyDescent="0.25">
      <c r="A25" s="13">
        <v>45108</v>
      </c>
      <c r="B25">
        <f>(Portfolio_BestFund!C11-Portfolio_BestFund!C10)/Portfolio_BestFund!C10</f>
        <v>6.8687937295348611E-2</v>
      </c>
      <c r="C25">
        <f>(Portfolio_BestFund!D11-Portfolio_BestFund!D10)/Portfolio_BestFund!D10</f>
        <v>1.6266774552093639E-2</v>
      </c>
      <c r="D25">
        <f>(Portfolio_BestFund!E11-Portfolio_BestFund!E10)/Portfolio_BestFund!E10</f>
        <v>5.7007979811872583E-2</v>
      </c>
      <c r="E25">
        <f>(Portfolio_BestFund!F11-Portfolio_BestFund!F10)/Portfolio_BestFund!F10</f>
        <v>0.14347555239353732</v>
      </c>
      <c r="F25">
        <f>(Portfolio_BestFund!G11-Portfolio_BestFund!G10)/Portfolio_BestFund!G10</f>
        <v>9.6666971842447914E-3</v>
      </c>
      <c r="G25">
        <f>(Portfolio_BestFund!H11-Portfolio_BestFund!H10)/Portfolio_BestFund!H10</f>
        <v>1.8716744148494585E-2</v>
      </c>
      <c r="H25">
        <f>(Portfolio_BestFund!I11-Portfolio_BestFund!I10)/Portfolio_BestFund!I10</f>
        <v>3.9667167665539613E-2</v>
      </c>
      <c r="I25">
        <f>(Portfolio_BestFund!J11-Portfolio_BestFund!J10)/Portfolio_BestFund!J10</f>
        <v>6.563453015784626E-2</v>
      </c>
      <c r="J25">
        <f>(Portfolio_BestFund!K11-Portfolio_BestFund!K10)/Portfolio_BestFund!K10</f>
        <v>4.3672942477101545E-2</v>
      </c>
      <c r="K25">
        <f>(Portfolio_BestFund!L11-Portfolio_BestFund!L10)/Portfolio_BestFund!L10</f>
        <v>7.3197239133158593E-2</v>
      </c>
      <c r="L25">
        <f>(Portfolio_BestFund!M11-Portfolio_BestFund!M10)/Portfolio_BestFund!M10</f>
        <v>6.1893800274163947E-2</v>
      </c>
    </row>
    <row r="26" spans="1:12" x14ac:dyDescent="0.25">
      <c r="A26" s="13">
        <v>45139</v>
      </c>
      <c r="B26">
        <f>(Portfolio_BestFund!C12-Portfolio_BestFund!C11)/Portfolio_BestFund!C11</f>
        <v>1.6367005022334541E-2</v>
      </c>
      <c r="C26">
        <f>(Portfolio_BestFund!D12-Portfolio_BestFund!D11)/Portfolio_BestFund!D11</f>
        <v>-4.8817833195006956E-3</v>
      </c>
      <c r="D26">
        <f>(Portfolio_BestFund!E12-Portfolio_BestFund!E11)/Portfolio_BestFund!E11</f>
        <v>3.391486427384701E-2</v>
      </c>
      <c r="E26">
        <f>(Portfolio_BestFund!F12-Portfolio_BestFund!F11)/Portfolio_BestFund!F11</f>
        <v>3.2641338549891E-2</v>
      </c>
      <c r="F26">
        <f>(Portfolio_BestFund!G12-Portfolio_BestFund!G11)/Portfolio_BestFund!G11</f>
        <v>1.9643423419293527E-2</v>
      </c>
      <c r="G26">
        <f>(Portfolio_BestFund!H12-Portfolio_BestFund!H11)/Portfolio_BestFund!H11</f>
        <v>6.5732822229691793E-3</v>
      </c>
      <c r="H26">
        <f>(Portfolio_BestFund!I12-Portfolio_BestFund!I11)/Portfolio_BestFund!I11</f>
        <v>-7.8168280760023776E-3</v>
      </c>
      <c r="I26">
        <f>(Portfolio_BestFund!J12-Portfolio_BestFund!J11)/Portfolio_BestFund!J11</f>
        <v>7.2095982684848944E-2</v>
      </c>
      <c r="J26">
        <f>(Portfolio_BestFund!K12-Portfolio_BestFund!K11)/Portfolio_BestFund!K11</f>
        <v>-0.10327249464018662</v>
      </c>
      <c r="K26">
        <f>(Portfolio_BestFund!L12-Portfolio_BestFund!L11)/Portfolio_BestFund!L11</f>
        <v>5.7522113971146763E-3</v>
      </c>
      <c r="L26">
        <f>(Portfolio_BestFund!M12-Portfolio_BestFund!M11)/Portfolio_BestFund!M11</f>
        <v>3.207813717848796E-2</v>
      </c>
    </row>
    <row r="27" spans="1:12" x14ac:dyDescent="0.25">
      <c r="A27" s="13">
        <v>45170</v>
      </c>
      <c r="B27">
        <f>(Portfolio_BestFund!C13-Portfolio_BestFund!C12)/Portfolio_BestFund!C12</f>
        <v>-3.1440079123229388E-2</v>
      </c>
      <c r="C27">
        <f>(Portfolio_BestFund!D13-Portfolio_BestFund!D12)/Portfolio_BestFund!D12</f>
        <v>-2.2834015458767652E-2</v>
      </c>
      <c r="D27">
        <f>(Portfolio_BestFund!E13-Portfolio_BestFund!E12)/Portfolio_BestFund!E12</f>
        <v>-4.979574689148103E-2</v>
      </c>
      <c r="E27">
        <f>(Portfolio_BestFund!F13-Portfolio_BestFund!F12)/Portfolio_BestFund!F12</f>
        <v>-8.3448737296078403E-3</v>
      </c>
      <c r="F27">
        <f>(Portfolio_BestFund!G13-Portfolio_BestFund!G12)/Portfolio_BestFund!G12</f>
        <v>-3.9825142726924813E-2</v>
      </c>
      <c r="G27">
        <f>(Portfolio_BestFund!H13-Portfolio_BestFund!H12)/Portfolio_BestFund!H12</f>
        <v>-6.1556576111477183E-2</v>
      </c>
      <c r="H27">
        <f>(Portfolio_BestFund!I13-Portfolio_BestFund!I12)/Portfolio_BestFund!I12</f>
        <v>6.4715754255648822E-2</v>
      </c>
      <c r="I27">
        <f>(Portfolio_BestFund!J13-Portfolio_BestFund!J12)/Portfolio_BestFund!J12</f>
        <v>-6.5911603475718228E-2</v>
      </c>
      <c r="J27">
        <f>(Portfolio_BestFund!K13-Portfolio_BestFund!K12)/Portfolio_BestFund!K12</f>
        <v>4.2775958484044113E-2</v>
      </c>
      <c r="K27">
        <f>(Portfolio_BestFund!L13-Portfolio_BestFund!L12)/Portfolio_BestFund!L12</f>
        <v>1.5460996009276818E-2</v>
      </c>
      <c r="L27">
        <f>(Portfolio_BestFund!M13-Portfolio_BestFund!M12)/Portfolio_BestFund!M12</f>
        <v>-1.5929955396124889E-2</v>
      </c>
    </row>
    <row r="28" spans="1:12" x14ac:dyDescent="0.25">
      <c r="A28" s="13">
        <v>45200</v>
      </c>
      <c r="B28">
        <f>(Portfolio_BestFund!C14-Portfolio_BestFund!C13)/Portfolio_BestFund!C13</f>
        <v>-8.2919910045148967E-2</v>
      </c>
      <c r="C28">
        <f>(Portfolio_BestFund!D14-Portfolio_BestFund!D13)/Portfolio_BestFund!D13</f>
        <v>-2.0872682385147334E-2</v>
      </c>
      <c r="D28">
        <f>(Portfolio_BestFund!E14-Portfolio_BestFund!E13)/Portfolio_BestFund!E13</f>
        <v>-3.3212873709841675E-2</v>
      </c>
      <c r="E28">
        <f>(Portfolio_BestFund!F14-Portfolio_BestFund!F13)/Portfolio_BestFund!F13</f>
        <v>-0.10480684927602464</v>
      </c>
      <c r="F28">
        <f>(Portfolio_BestFund!G14-Portfolio_BestFund!G13)/Portfolio_BestFund!G13</f>
        <v>-6.4575986214349568E-2</v>
      </c>
      <c r="G28">
        <f>(Portfolio_BestFund!H14-Portfolio_BestFund!H13)/Portfolio_BestFund!H13</f>
        <v>-3.5078763965029382E-2</v>
      </c>
      <c r="H28">
        <f>(Portfolio_BestFund!I14-Portfolio_BestFund!I13)/Portfolio_BestFund!I13</f>
        <v>1.8587039048159327E-2</v>
      </c>
      <c r="I28">
        <f>(Portfolio_BestFund!J14-Portfolio_BestFund!J13)/Portfolio_BestFund!J13</f>
        <v>-2.0773756297550478E-2</v>
      </c>
      <c r="J28">
        <f>(Portfolio_BestFund!K14-Portfolio_BestFund!K13)/Portfolio_BestFund!K13</f>
        <v>-8.8927146505820426E-2</v>
      </c>
      <c r="K28">
        <f>(Portfolio_BestFund!L14-Portfolio_BestFund!L13)/Portfolio_BestFund!L13</f>
        <v>-9.0981840322159994E-3</v>
      </c>
      <c r="L28">
        <f>(Portfolio_BestFund!M14-Portfolio_BestFund!M13)/Portfolio_BestFund!M13</f>
        <v>-5.1297424336898753E-2</v>
      </c>
    </row>
    <row r="29" spans="1:12" x14ac:dyDescent="0.25">
      <c r="A29" s="13">
        <v>45231</v>
      </c>
      <c r="B29">
        <f>(Portfolio_BestFund!C15-Portfolio_BestFund!C14)/Portfolio_BestFund!C14</f>
        <v>1.2661940759890451E-3</v>
      </c>
      <c r="C29">
        <f>(Portfolio_BestFund!D15-Portfolio_BestFund!D14)/Portfolio_BestFund!D14</f>
        <v>7.5419578781538696E-2</v>
      </c>
      <c r="D29">
        <f>(Portfolio_BestFund!E15-Portfolio_BestFund!E14)/Portfolio_BestFund!E14</f>
        <v>-4.163707192530279E-2</v>
      </c>
      <c r="E29">
        <f>(Portfolio_BestFund!F15-Portfolio_BestFund!F14)/Portfolio_BestFund!F14</f>
        <v>-4.2016763804439305E-2</v>
      </c>
      <c r="F29">
        <f>(Portfolio_BestFund!G15-Portfolio_BestFund!G14)/Portfolio_BestFund!G14</f>
        <v>1.7303516445450078E-2</v>
      </c>
      <c r="G29">
        <f>(Portfolio_BestFund!H15-Portfolio_BestFund!H14)/Portfolio_BestFund!H14</f>
        <v>-2.5418236674942328E-2</v>
      </c>
      <c r="H29">
        <f>(Portfolio_BestFund!I15-Portfolio_BestFund!I14)/Portfolio_BestFund!I14</f>
        <v>-8.6396247522822628E-2</v>
      </c>
      <c r="I29">
        <f>(Portfolio_BestFund!J15-Portfolio_BestFund!J14)/Portfolio_BestFund!J14</f>
        <v>-3.3595337605341516E-2</v>
      </c>
      <c r="J29">
        <f>(Portfolio_BestFund!K15-Portfolio_BestFund!K14)/Portfolio_BestFund!K14</f>
        <v>0.11460961179990602</v>
      </c>
      <c r="K29">
        <f>(Portfolio_BestFund!L15-Portfolio_BestFund!L14)/Portfolio_BestFund!L14</f>
        <v>2.979388054913339E-2</v>
      </c>
      <c r="L29">
        <f>(Portfolio_BestFund!M15-Portfolio_BestFund!M14)/Portfolio_BestFund!M14</f>
        <v>-2.1057155135367388E-2</v>
      </c>
    </row>
    <row r="30" spans="1:12" x14ac:dyDescent="0.25">
      <c r="A30" s="13">
        <v>45261</v>
      </c>
      <c r="B30">
        <f>(Portfolio_BestFund!C16-Portfolio_BestFund!C15)/Portfolio_BestFund!C15</f>
        <v>9.9270012940632188E-2</v>
      </c>
      <c r="C30">
        <f>(Portfolio_BestFund!D16-Portfolio_BestFund!D15)/Portfolio_BestFund!D15</f>
        <v>8.2179911114810711E-2</v>
      </c>
      <c r="D30">
        <f>(Portfolio_BestFund!E16-Portfolio_BestFund!E15)/Portfolio_BestFund!E15</f>
        <v>6.5169159205742941E-2</v>
      </c>
      <c r="E30">
        <f>(Portfolio_BestFund!F16-Portfolio_BestFund!F15)/Portfolio_BestFund!F15</f>
        <v>0.10808796330903368</v>
      </c>
      <c r="F30">
        <f>(Portfolio_BestFund!G16-Portfolio_BestFund!G15)/Portfolio_BestFund!G15</f>
        <v>3.8979461666718729E-2</v>
      </c>
      <c r="G30">
        <f>(Portfolio_BestFund!H16-Portfolio_BestFund!H15)/Portfolio_BestFund!H15</f>
        <v>2.3169815232319747E-2</v>
      </c>
      <c r="H30">
        <f>(Portfolio_BestFund!I16-Portfolio_BestFund!I15)/Portfolio_BestFund!I15</f>
        <v>-2.5085209590966395E-2</v>
      </c>
      <c r="I30">
        <f>(Portfolio_BestFund!J16-Portfolio_BestFund!J15)/Portfolio_BestFund!J15</f>
        <v>0.12883254341407682</v>
      </c>
      <c r="J30">
        <f>(Portfolio_BestFund!K16-Portfolio_BestFund!K15)/Portfolio_BestFund!K15</f>
        <v>8.983051322331323E-2</v>
      </c>
      <c r="K30">
        <f>(Portfolio_BestFund!L16-Portfolio_BestFund!L15)/Portfolio_BestFund!L15</f>
        <v>-6.3868538785904677E-2</v>
      </c>
      <c r="L30">
        <f>(Portfolio_BestFund!M16-Portfolio_BestFund!M15)/Portfolio_BestFund!M15</f>
        <v>9.1282342612198586E-2</v>
      </c>
    </row>
    <row r="31" spans="1:12" x14ac:dyDescent="0.25">
      <c r="A31" s="13">
        <v>45292</v>
      </c>
      <c r="B31">
        <f>(Portfolio_BestFund!C17-Portfolio_BestFund!C16)/Portfolio_BestFund!C16</f>
        <v>-2.9282607941129007E-2</v>
      </c>
      <c r="C31">
        <f>(Portfolio_BestFund!D17-Portfolio_BestFund!D16)/Portfolio_BestFund!D16</f>
        <v>-9.7194054992428263E-3</v>
      </c>
      <c r="D31">
        <f>(Portfolio_BestFund!E17-Portfolio_BestFund!E16)/Portfolio_BestFund!E16</f>
        <v>1.003912292506277E-2</v>
      </c>
      <c r="E31">
        <f>(Portfolio_BestFund!F17-Portfolio_BestFund!F16)/Portfolio_BestFund!F16</f>
        <v>6.1451789964699848E-2</v>
      </c>
      <c r="F31">
        <f>(Portfolio_BestFund!G17-Portfolio_BestFund!G16)/Portfolio_BestFund!G16</f>
        <v>2.0122788496892165E-2</v>
      </c>
      <c r="G31">
        <f>(Portfolio_BestFund!H17-Portfolio_BestFund!H16)/Portfolio_BestFund!H16</f>
        <v>2.5016308966911132E-2</v>
      </c>
      <c r="H31">
        <f>(Portfolio_BestFund!I17-Portfolio_BestFund!I16)/Portfolio_BestFund!I16</f>
        <v>-6.1170722058974062E-3</v>
      </c>
      <c r="I31">
        <f>(Portfolio_BestFund!J17-Portfolio_BestFund!J16)/Portfolio_BestFund!J16</f>
        <v>9.716912681081398E-2</v>
      </c>
      <c r="J31">
        <f>(Portfolio_BestFund!K17-Portfolio_BestFund!K16)/Portfolio_BestFund!K16</f>
        <v>7.7760296221411167E-3</v>
      </c>
      <c r="K31">
        <f>(Portfolio_BestFund!L17-Portfolio_BestFund!L16)/Portfolio_BestFund!L16</f>
        <v>3.2072078351321164E-2</v>
      </c>
      <c r="L31">
        <f>(Portfolio_BestFund!M17-Portfolio_BestFund!M16)/Portfolio_BestFund!M16</f>
        <v>4.1125387473083919E-2</v>
      </c>
    </row>
    <row r="32" spans="1:12" x14ac:dyDescent="0.25">
      <c r="A32" s="14">
        <v>45323</v>
      </c>
      <c r="B32">
        <f>(Portfolio_BestFund!C18-Portfolio_BestFund!C17)/Portfolio_BestFund!C17</f>
        <v>6.5718661102905128E-3</v>
      </c>
      <c r="C32">
        <f>(Portfolio_BestFund!D18-Portfolio_BestFund!D17)/Portfolio_BestFund!D17</f>
        <v>8.8737304433890565E-2</v>
      </c>
      <c r="D32">
        <f>(Portfolio_BestFund!E18-Portfolio_BestFund!E17)/Portfolio_BestFund!E17</f>
        <v>-1.0064390811188801E-2</v>
      </c>
      <c r="E32">
        <f>(Portfolio_BestFund!F18-Portfolio_BestFund!F17)/Portfolio_BestFund!F17</f>
        <v>-1.7444030372531633E-2</v>
      </c>
      <c r="F32">
        <f>(Portfolio_BestFund!G18-Portfolio_BestFund!G17)/Portfolio_BestFund!G17</f>
        <v>1.9391505405047263E-2</v>
      </c>
      <c r="G32">
        <f>(Portfolio_BestFund!H18-Portfolio_BestFund!H17)/Portfolio_BestFund!H17</f>
        <v>-6.9978988389343862E-3</v>
      </c>
      <c r="H32">
        <f>(Portfolio_BestFund!I18-Portfolio_BestFund!I17)/Portfolio_BestFund!I17</f>
        <v>2.9307130830317693E-4</v>
      </c>
      <c r="I32">
        <f>(Portfolio_BestFund!J18-Portfolio_BestFund!J17)/Portfolio_BestFund!J17</f>
        <v>9.5885278877689707E-3</v>
      </c>
      <c r="J32">
        <f>(Portfolio_BestFund!K18-Portfolio_BestFund!K17)/Portfolio_BestFund!K17</f>
        <v>9.2849807386246819E-2</v>
      </c>
      <c r="K32">
        <f>(Portfolio_BestFund!L18-Portfolio_BestFund!L17)/Portfolio_BestFund!L17</f>
        <v>5.6626232409531942E-2</v>
      </c>
      <c r="L32">
        <f>(Portfolio_BestFund!M18-Portfolio_BestFund!M17)/Portfolio_BestFund!M17</f>
        <v>1.6750380690470249E-2</v>
      </c>
    </row>
    <row r="36" spans="2:12" x14ac:dyDescent="0.25">
      <c r="B36" s="58" t="s">
        <v>1207</v>
      </c>
      <c r="C36" s="58"/>
      <c r="D36" s="58"/>
      <c r="E36" s="58"/>
      <c r="F36" s="58"/>
      <c r="G36" s="58"/>
      <c r="H36" s="58"/>
      <c r="I36" s="58"/>
      <c r="J36" s="58"/>
      <c r="K36" s="58"/>
      <c r="L36" s="59"/>
    </row>
    <row r="37" spans="2:12" x14ac:dyDescent="0.25">
      <c r="B37" s="29" t="str">
        <f>B20</f>
        <v>AAPL</v>
      </c>
      <c r="C37" s="29" t="str">
        <f t="shared" ref="C37:K37" si="7">C20</f>
        <v>MSFT</v>
      </c>
      <c r="D37" s="29" t="str">
        <f t="shared" si="7"/>
        <v>JNJ</v>
      </c>
      <c r="E37" s="29" t="str">
        <f t="shared" si="7"/>
        <v>PG</v>
      </c>
      <c r="F37" s="29" t="str">
        <f t="shared" si="7"/>
        <v>KO</v>
      </c>
      <c r="G37" s="29" t="str">
        <f t="shared" si="7"/>
        <v>PEP</v>
      </c>
      <c r="H37" s="29" t="str">
        <f t="shared" si="7"/>
        <v>XOM</v>
      </c>
      <c r="I37" s="29" t="str">
        <f t="shared" si="7"/>
        <v>JPM</v>
      </c>
      <c r="J37" s="29" t="str">
        <f t="shared" si="7"/>
        <v>VZ</v>
      </c>
      <c r="K37" s="29" t="str">
        <f t="shared" si="7"/>
        <v>WMT</v>
      </c>
      <c r="L37" t="s">
        <v>1208</v>
      </c>
    </row>
    <row r="38" spans="2:12" x14ac:dyDescent="0.25">
      <c r="B38">
        <f>B21*'efficient portfolio'!$B$4</f>
        <v>0</v>
      </c>
      <c r="C38">
        <f>C21*'efficient portfolio'!$C$4</f>
        <v>-1.2626415852876485E-2</v>
      </c>
      <c r="D38">
        <f>D21*'efficient portfolio'!D$4</f>
        <v>0</v>
      </c>
      <c r="E38">
        <f>E21*'efficient portfolio'!E$4</f>
        <v>0</v>
      </c>
      <c r="F38">
        <f>F21*'efficient portfolio'!F$4</f>
        <v>0</v>
      </c>
      <c r="G38">
        <f>G21*'efficient portfolio'!G$4</f>
        <v>0</v>
      </c>
      <c r="H38">
        <f>H21*'efficient portfolio'!H$4</f>
        <v>0</v>
      </c>
      <c r="I38">
        <f>I21*'efficient portfolio'!I$4</f>
        <v>6.2061461401933865E-3</v>
      </c>
      <c r="J38">
        <f>J21*'efficient portfolio'!J$4</f>
        <v>0</v>
      </c>
      <c r="K38">
        <f>K21*'efficient portfolio'!K$4</f>
        <v>-6.7122651887810752E-3</v>
      </c>
      <c r="L38">
        <f>SUMPRODUCT(B38:K38, 'efficient portfolio'!$B$4:$K$4)</f>
        <v>-5.8440409579838225E-3</v>
      </c>
    </row>
    <row r="39" spans="2:12" x14ac:dyDescent="0.25">
      <c r="B39">
        <f>B22*'efficient portfolio'!$B$4</f>
        <v>0</v>
      </c>
      <c r="C39">
        <f>C22*'efficient portfolio'!$C$4</f>
        <v>8.1911529375748596E-2</v>
      </c>
      <c r="D39">
        <f>D22*'efficient portfolio'!D$4</f>
        <v>0</v>
      </c>
      <c r="E39">
        <f>E22*'efficient portfolio'!E$4</f>
        <v>0</v>
      </c>
      <c r="F39">
        <f>F22*'efficient portfolio'!F$4</f>
        <v>0</v>
      </c>
      <c r="G39">
        <f>G22*'efficient portfolio'!G$4</f>
        <v>0</v>
      </c>
      <c r="H39">
        <f>H22*'efficient portfolio'!H$4</f>
        <v>0</v>
      </c>
      <c r="I39">
        <f>I22*'efficient portfolio'!I$4</f>
        <v>-2.5438274637775211E-2</v>
      </c>
      <c r="J39">
        <f>J22*'efficient portfolio'!J$4</f>
        <v>0</v>
      </c>
      <c r="K39">
        <f>K22*'efficient portfolio'!K$4</f>
        <v>1.309104294366047E-2</v>
      </c>
      <c r="L39">
        <f>SUMPRODUCT(B39:K39, 'efficient portfolio'!$B$4:$K$4)</f>
        <v>3.5707860058213088E-2</v>
      </c>
    </row>
    <row r="40" spans="2:12" x14ac:dyDescent="0.25">
      <c r="B40">
        <f>B23*'efficient portfolio'!$B$4</f>
        <v>0</v>
      </c>
      <c r="C40">
        <f>C23*'efficient portfolio'!$C$4</f>
        <v>3.1428877158074187E-2</v>
      </c>
      <c r="D40">
        <f>D23*'efficient portfolio'!D$4</f>
        <v>0</v>
      </c>
      <c r="E40">
        <f>E23*'efficient portfolio'!E$4</f>
        <v>0</v>
      </c>
      <c r="F40">
        <f>F23*'efficient portfolio'!F$4</f>
        <v>0</v>
      </c>
      <c r="G40">
        <f>G23*'efficient portfolio'!G$4</f>
        <v>0</v>
      </c>
      <c r="H40">
        <f>H23*'efficient portfolio'!H$4</f>
        <v>0</v>
      </c>
      <c r="I40">
        <f>I23*'efficient portfolio'!I$4</f>
        <v>2.4824176753311143E-2</v>
      </c>
      <c r="J40">
        <f>J23*'efficient portfolio'!J$4</f>
        <v>0</v>
      </c>
      <c r="K40">
        <f>K23*'efficient portfolio'!K$4</f>
        <v>4.1901184984751575E-3</v>
      </c>
      <c r="L40">
        <f>SUMPRODUCT(B40:K40, 'efficient portfolio'!$B$4:$K$4)</f>
        <v>2.3643952255295357E-2</v>
      </c>
    </row>
    <row r="41" spans="2:12" x14ac:dyDescent="0.25">
      <c r="B41">
        <f>B24*'efficient portfolio'!$B$4</f>
        <v>0</v>
      </c>
      <c r="C41">
        <f>C24*'efficient portfolio'!$C$4</f>
        <v>4.3549703619450708E-2</v>
      </c>
      <c r="D41">
        <f>D24*'efficient portfolio'!D$4</f>
        <v>0</v>
      </c>
      <c r="E41">
        <f>E24*'efficient portfolio'!E$4</f>
        <v>0</v>
      </c>
      <c r="F41">
        <f>F24*'efficient portfolio'!F$4</f>
        <v>0</v>
      </c>
      <c r="G41">
        <f>G24*'efficient portfolio'!G$4</f>
        <v>0</v>
      </c>
      <c r="H41">
        <f>H24*'efficient portfolio'!H$4</f>
        <v>0</v>
      </c>
      <c r="I41">
        <f>I24*'efficient portfolio'!I$4</f>
        <v>-7.5033792014574099E-3</v>
      </c>
      <c r="J41">
        <f>J24*'efficient portfolio'!J$4</f>
        <v>0</v>
      </c>
      <c r="K41">
        <f>K24*'efficient portfolio'!K$4</f>
        <v>-5.9240074510890127E-3</v>
      </c>
      <c r="L41">
        <f>SUMPRODUCT(B41:K41, 'efficient portfolio'!$B$4:$K$4)</f>
        <v>1.7979010504122473E-2</v>
      </c>
    </row>
    <row r="42" spans="2:12" x14ac:dyDescent="0.25">
      <c r="B42">
        <f>B25*'efficient portfolio'!$B$4</f>
        <v>0</v>
      </c>
      <c r="C42">
        <f>C25*'efficient portfolio'!$C$4</f>
        <v>8.0112075096791489E-3</v>
      </c>
      <c r="D42">
        <f>D25*'efficient portfolio'!D$4</f>
        <v>0</v>
      </c>
      <c r="E42">
        <f>E25*'efficient portfolio'!E$4</f>
        <v>0</v>
      </c>
      <c r="F42">
        <f>F25*'efficient portfolio'!F$4</f>
        <v>0</v>
      </c>
      <c r="G42">
        <f>G25*'efficient portfolio'!G$4</f>
        <v>0</v>
      </c>
      <c r="H42">
        <f>H25*'efficient portfolio'!H$4</f>
        <v>0</v>
      </c>
      <c r="I42">
        <f>I25*'efficient portfolio'!I$4</f>
        <v>1.9209496354516919E-2</v>
      </c>
      <c r="J42">
        <f>J25*'efficient portfolio'!J$4</f>
        <v>0</v>
      </c>
      <c r="K42">
        <f>K25*'efficient portfolio'!K$4</f>
        <v>1.5725502270508188E-2</v>
      </c>
      <c r="L42">
        <f>SUMPRODUCT(B42:K42, 'efficient portfolio'!$B$4:$K$4)</f>
        <v>1.2945970172762519E-2</v>
      </c>
    </row>
    <row r="43" spans="2:12" x14ac:dyDescent="0.25">
      <c r="B43">
        <f>B26*'efficient portfolio'!$B$4</f>
        <v>0</v>
      </c>
      <c r="C43">
        <f>C26*'efficient portfolio'!$C$4</f>
        <v>-2.4042245784230655E-3</v>
      </c>
      <c r="D43">
        <f>D26*'efficient portfolio'!D$4</f>
        <v>0</v>
      </c>
      <c r="E43">
        <f>E26*'efficient portfolio'!E$4</f>
        <v>0</v>
      </c>
      <c r="F43">
        <f>F26*'efficient portfolio'!F$4</f>
        <v>0</v>
      </c>
      <c r="G43">
        <f>G26*'efficient portfolio'!G$4</f>
        <v>0</v>
      </c>
      <c r="H43">
        <f>H26*'efficient portfolio'!H$4</f>
        <v>0</v>
      </c>
      <c r="I43">
        <f>I26*'efficient portfolio'!I$4</f>
        <v>2.1100593136406567E-2</v>
      </c>
      <c r="J43">
        <f>J26*'efficient portfolio'!J$4</f>
        <v>0</v>
      </c>
      <c r="K43">
        <f>K26*'efficient portfolio'!K$4</f>
        <v>1.2357899622581921E-3</v>
      </c>
      <c r="L43">
        <f>SUMPRODUCT(B43:K43, 'efficient portfolio'!$B$4:$K$4)</f>
        <v>5.2570269488148606E-3</v>
      </c>
    </row>
    <row r="44" spans="2:12" x14ac:dyDescent="0.25">
      <c r="B44">
        <f>B27*'efficient portfolio'!$B$4</f>
        <v>0</v>
      </c>
      <c r="C44">
        <f>C27*'efficient portfolio'!$C$4</f>
        <v>-1.1245501407398873E-2</v>
      </c>
      <c r="D44">
        <f>D27*'efficient portfolio'!D$4</f>
        <v>0</v>
      </c>
      <c r="E44">
        <f>E27*'efficient portfolio'!E$4</f>
        <v>0</v>
      </c>
      <c r="F44">
        <f>F27*'efficient portfolio'!F$4</f>
        <v>0</v>
      </c>
      <c r="G44">
        <f>G27*'efficient portfolio'!G$4</f>
        <v>0</v>
      </c>
      <c r="H44">
        <f>H27*'efficient portfolio'!H$4</f>
        <v>0</v>
      </c>
      <c r="I44">
        <f>I27*'efficient portfolio'!I$4</f>
        <v>-1.929058840890956E-2</v>
      </c>
      <c r="J44">
        <f>J27*'efficient portfolio'!J$4</f>
        <v>0</v>
      </c>
      <c r="K44">
        <f>K27*'efficient portfolio'!K$4</f>
        <v>3.3215997041350304E-3</v>
      </c>
      <c r="L44">
        <f>SUMPRODUCT(B44:K44, 'efficient portfolio'!$B$4:$K$4)</f>
        <v>-1.0470528567216291E-2</v>
      </c>
    </row>
    <row r="45" spans="2:12" x14ac:dyDescent="0.25">
      <c r="B45">
        <f>B28*'efficient portfolio'!$B$4</f>
        <v>0</v>
      </c>
      <c r="C45">
        <f>C28*'efficient portfolio'!$C$4</f>
        <v>-1.0279566446042514E-2</v>
      </c>
      <c r="D45">
        <f>D28*'efficient portfolio'!D$4</f>
        <v>0</v>
      </c>
      <c r="E45">
        <f>E28*'efficient portfolio'!E$4</f>
        <v>0</v>
      </c>
      <c r="F45">
        <f>F28*'efficient portfolio'!F$4</f>
        <v>0</v>
      </c>
      <c r="G45">
        <f>G28*'efficient portfolio'!G$4</f>
        <v>0</v>
      </c>
      <c r="H45">
        <f>H28*'efficient portfolio'!H$4</f>
        <v>0</v>
      </c>
      <c r="I45">
        <f>I28*'efficient portfolio'!I$4</f>
        <v>-6.0799307149411218E-3</v>
      </c>
      <c r="J45">
        <f>J28*'efficient portfolio'!J$4</f>
        <v>0</v>
      </c>
      <c r="K45">
        <f>K28*'efficient portfolio'!K$4</f>
        <v>-1.9546299197957216E-3</v>
      </c>
      <c r="L45">
        <f>SUMPRODUCT(B45:K45, 'efficient portfolio'!$B$4:$K$4)</f>
        <v>-7.2619363416553326E-3</v>
      </c>
    </row>
    <row r="46" spans="2:12" x14ac:dyDescent="0.25">
      <c r="B46">
        <f>B29*'efficient portfolio'!$B$4</f>
        <v>0</v>
      </c>
      <c r="C46">
        <f>C29*'efficient portfolio'!$C$4</f>
        <v>3.7143312829262538E-2</v>
      </c>
      <c r="D46">
        <f>D29*'efficient portfolio'!D$4</f>
        <v>0</v>
      </c>
      <c r="E46">
        <f>E29*'efficient portfolio'!E$4</f>
        <v>0</v>
      </c>
      <c r="F46">
        <f>F29*'efficient portfolio'!F$4</f>
        <v>0</v>
      </c>
      <c r="G46">
        <f>G29*'efficient portfolio'!G$4</f>
        <v>0</v>
      </c>
      <c r="H46">
        <f>H29*'efficient portfolio'!H$4</f>
        <v>0</v>
      </c>
      <c r="I46">
        <f>I29*'efficient portfolio'!I$4</f>
        <v>-9.8324694898638647E-3</v>
      </c>
      <c r="J46">
        <f>J29*'efficient portfolio'!J$4</f>
        <v>0</v>
      </c>
      <c r="K46">
        <f>K29*'efficient portfolio'!K$4</f>
        <v>6.4008389082861467E-3</v>
      </c>
      <c r="L46">
        <f>SUMPRODUCT(B46:K46, 'efficient portfolio'!$B$4:$K$4)</f>
        <v>1.6790107768902388E-2</v>
      </c>
    </row>
    <row r="47" spans="2:12" x14ac:dyDescent="0.25">
      <c r="B47">
        <f>B30*'efficient portfolio'!$B$4</f>
        <v>0</v>
      </c>
      <c r="C47">
        <f>C30*'efficient portfolio'!$C$4</f>
        <v>4.0472702130306543E-2</v>
      </c>
      <c r="D47">
        <f>D30*'efficient portfolio'!D$4</f>
        <v>0</v>
      </c>
      <c r="E47">
        <f>E30*'efficient portfolio'!E$4</f>
        <v>0</v>
      </c>
      <c r="F47">
        <f>F30*'efficient portfolio'!F$4</f>
        <v>0</v>
      </c>
      <c r="G47">
        <f>G30*'efficient portfolio'!G$4</f>
        <v>0</v>
      </c>
      <c r="H47">
        <f>H30*'efficient portfolio'!H$4</f>
        <v>0</v>
      </c>
      <c r="I47">
        <f>I30*'efficient portfolio'!I$4</f>
        <v>3.770588845694664E-2</v>
      </c>
      <c r="J47">
        <f>J30*'efficient portfolio'!J$4</f>
        <v>0</v>
      </c>
      <c r="K47">
        <f>K30*'efficient portfolio'!K$4</f>
        <v>-1.3721348832087352E-2</v>
      </c>
      <c r="L47">
        <f>SUMPRODUCT(B47:K47, 'efficient portfolio'!$B$4:$K$4)</f>
        <v>2.8020021400202981E-2</v>
      </c>
    </row>
    <row r="48" spans="2:12" x14ac:dyDescent="0.25">
      <c r="B48">
        <f>B31*'efficient portfolio'!$B$4</f>
        <v>0</v>
      </c>
      <c r="C48">
        <f>C31*'efficient portfolio'!$C$4</f>
        <v>-4.7867002813492196E-3</v>
      </c>
      <c r="D48">
        <f>D31*'efficient portfolio'!D$4</f>
        <v>0</v>
      </c>
      <c r="E48">
        <f>E31*'efficient portfolio'!E$4</f>
        <v>0</v>
      </c>
      <c r="F48">
        <f>F31*'efficient portfolio'!F$4</f>
        <v>0</v>
      </c>
      <c r="G48">
        <f>G31*'efficient portfolio'!G$4</f>
        <v>0</v>
      </c>
      <c r="H48">
        <f>H31*'efficient portfolio'!H$4</f>
        <v>0</v>
      </c>
      <c r="I48">
        <f>I31*'efficient portfolio'!I$4</f>
        <v>2.843884130434024E-2</v>
      </c>
      <c r="J48">
        <f>J31*'efficient portfolio'!J$4</f>
        <v>0</v>
      </c>
      <c r="K48">
        <f>K31*'efficient portfolio'!K$4</f>
        <v>6.8902809300787609E-3</v>
      </c>
      <c r="L48">
        <f>SUMPRODUCT(B48:K48, 'efficient portfolio'!$B$4:$K$4)</f>
        <v>7.4461915850420109E-3</v>
      </c>
    </row>
    <row r="49" spans="1:13" x14ac:dyDescent="0.25">
      <c r="B49">
        <f>B32*'efficient portfolio'!$B$4</f>
        <v>0</v>
      </c>
      <c r="C49">
        <f>C32*'efficient portfolio'!$C$4</f>
        <v>4.3702146199473359E-2</v>
      </c>
      <c r="D49">
        <f>D32*'efficient portfolio'!D$4</f>
        <v>0</v>
      </c>
      <c r="E49">
        <f>E32*'efficient portfolio'!E$4</f>
        <v>0</v>
      </c>
      <c r="F49">
        <f>F32*'efficient portfolio'!F$4</f>
        <v>0</v>
      </c>
      <c r="G49">
        <f>G32*'efficient portfolio'!G$4</f>
        <v>0</v>
      </c>
      <c r="H49">
        <f>H32*'efficient portfolio'!H$4</f>
        <v>0</v>
      </c>
      <c r="I49">
        <f>I32*'efficient portfolio'!I$4</f>
        <v>2.8063092866257508E-3</v>
      </c>
      <c r="J49">
        <f>J32*'efficient portfolio'!J$4</f>
        <v>0</v>
      </c>
      <c r="K49">
        <f>K32*'efficient portfolio'!K$4</f>
        <v>1.2165430784984763E-2</v>
      </c>
      <c r="L49">
        <f>SUMPRODUCT(B49:K49, 'efficient portfolio'!$B$4:$K$4)</f>
        <v>2.4957748093395387E-2</v>
      </c>
    </row>
    <row r="52" spans="1:13" x14ac:dyDescent="0.25">
      <c r="B52" s="60" t="s">
        <v>20</v>
      </c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2"/>
    </row>
    <row r="53" spans="1:13" x14ac:dyDescent="0.25">
      <c r="B53" s="29" t="str">
        <f>B37</f>
        <v>AAPL</v>
      </c>
      <c r="C53" s="29" t="str">
        <f t="shared" ref="C53:K53" si="8">C37</f>
        <v>MSFT</v>
      </c>
      <c r="D53" s="29" t="str">
        <f t="shared" si="8"/>
        <v>JNJ</v>
      </c>
      <c r="E53" s="29" t="str">
        <f t="shared" si="8"/>
        <v>PG</v>
      </c>
      <c r="F53" s="29" t="str">
        <f t="shared" si="8"/>
        <v>KO</v>
      </c>
      <c r="G53" s="29" t="str">
        <f t="shared" si="8"/>
        <v>PEP</v>
      </c>
      <c r="H53" s="29" t="str">
        <f t="shared" si="8"/>
        <v>XOM</v>
      </c>
      <c r="I53" s="29" t="str">
        <f t="shared" si="8"/>
        <v>JPM</v>
      </c>
      <c r="J53" s="29" t="str">
        <f t="shared" si="8"/>
        <v>VZ</v>
      </c>
      <c r="K53" s="29" t="str">
        <f t="shared" si="8"/>
        <v>WMT</v>
      </c>
    </row>
    <row r="54" spans="1:13" x14ac:dyDescent="0.25">
      <c r="A54" t="s">
        <v>11</v>
      </c>
      <c r="B54">
        <f>AVERAGE(B$38:B$49)</f>
        <v>0</v>
      </c>
      <c r="C54">
        <f t="shared" ref="C54:K54" si="9">AVERAGE(C$38:C$49)</f>
        <v>2.0406422521325407E-2</v>
      </c>
      <c r="D54">
        <f t="shared" si="9"/>
        <v>0</v>
      </c>
      <c r="E54">
        <f t="shared" si="9"/>
        <v>0</v>
      </c>
      <c r="F54">
        <f t="shared" si="9"/>
        <v>0</v>
      </c>
      <c r="G54">
        <f t="shared" si="9"/>
        <v>0</v>
      </c>
      <c r="H54">
        <f t="shared" si="9"/>
        <v>0</v>
      </c>
      <c r="I54">
        <f t="shared" si="9"/>
        <v>6.0122340816161244E-3</v>
      </c>
      <c r="J54">
        <f t="shared" si="9"/>
        <v>0</v>
      </c>
      <c r="K54">
        <f t="shared" si="9"/>
        <v>2.8923627175527953E-3</v>
      </c>
    </row>
    <row r="55" spans="1:13" x14ac:dyDescent="0.25">
      <c r="A55" t="s">
        <v>16</v>
      </c>
      <c r="B55">
        <f>SLOPE(B38:B49, $L$38:$L$49)</f>
        <v>0</v>
      </c>
      <c r="C55">
        <f t="shared" ref="C55:K55" si="10">SLOPE(C38:C49, $L$38:$L$49)</f>
        <v>1.8757040440633832</v>
      </c>
      <c r="D55">
        <f t="shared" si="10"/>
        <v>0</v>
      </c>
      <c r="E55">
        <f t="shared" si="10"/>
        <v>0</v>
      </c>
      <c r="F55">
        <f t="shared" si="10"/>
        <v>0</v>
      </c>
      <c r="G55">
        <f t="shared" si="10"/>
        <v>0</v>
      </c>
      <c r="H55">
        <f t="shared" si="10"/>
        <v>0</v>
      </c>
      <c r="I55">
        <f t="shared" si="10"/>
        <v>0.15964370308079479</v>
      </c>
      <c r="J55">
        <f t="shared" si="10"/>
        <v>0</v>
      </c>
      <c r="K55">
        <f t="shared" si="10"/>
        <v>0.13737317361625681</v>
      </c>
    </row>
    <row r="56" spans="1:13" x14ac:dyDescent="0.25">
      <c r="A56" t="s">
        <v>1209</v>
      </c>
      <c r="B56">
        <v>-5.8440409579838225E-3</v>
      </c>
      <c r="C56">
        <v>3.5707860058213088E-2</v>
      </c>
      <c r="D56">
        <v>2.3643952255295357E-2</v>
      </c>
      <c r="E56">
        <v>1.7979010504122473E-2</v>
      </c>
      <c r="F56">
        <v>1.2945970172762519E-2</v>
      </c>
      <c r="G56">
        <v>5.2570269488148606E-3</v>
      </c>
      <c r="H56">
        <v>-1.0470528567216291E-2</v>
      </c>
      <c r="I56">
        <v>-7.2619363416553326E-3</v>
      </c>
      <c r="J56">
        <v>1.6790107768902388E-2</v>
      </c>
      <c r="K56">
        <v>2.8020021400202981E-2</v>
      </c>
    </row>
    <row r="59" spans="1:13" x14ac:dyDescent="0.25">
      <c r="A59" s="56" t="s">
        <v>1212</v>
      </c>
      <c r="B59" s="57"/>
    </row>
    <row r="60" spans="1:13" x14ac:dyDescent="0.25">
      <c r="A60" s="23" t="s">
        <v>15</v>
      </c>
      <c r="B60" s="25">
        <f>'Regression 2'!B17</f>
        <v>6.6969713286806325E-4</v>
      </c>
    </row>
    <row r="61" spans="1:13" x14ac:dyDescent="0.25">
      <c r="A61" s="23" t="s">
        <v>16</v>
      </c>
      <c r="B61" s="25">
        <f>'Regression 2'!B18</f>
        <v>1.0716399378403664E-2</v>
      </c>
    </row>
    <row r="62" spans="1:13" x14ac:dyDescent="0.25">
      <c r="A62" s="23" t="s">
        <v>17</v>
      </c>
      <c r="B62" s="25">
        <f>'Regression 2'!B5</f>
        <v>0.95464463698164803</v>
      </c>
    </row>
    <row r="63" spans="1:13" x14ac:dyDescent="0.25">
      <c r="A63" s="23" t="s">
        <v>18</v>
      </c>
      <c r="B63" s="25">
        <f>'Regression 2'!D17</f>
        <v>1.2056504850471446</v>
      </c>
    </row>
    <row r="64" spans="1:13" x14ac:dyDescent="0.25">
      <c r="A64" s="24" t="s">
        <v>19</v>
      </c>
      <c r="B64" s="28">
        <f>'Regression 2'!D18</f>
        <v>12.138235659248689</v>
      </c>
    </row>
  </sheetData>
  <mergeCells count="9">
    <mergeCell ref="A59:B59"/>
    <mergeCell ref="B36:L36"/>
    <mergeCell ref="B52:M52"/>
    <mergeCell ref="L1:L2"/>
    <mergeCell ref="A3:L3"/>
    <mergeCell ref="A7:L7"/>
    <mergeCell ref="A12:B12"/>
    <mergeCell ref="B19:L19"/>
    <mergeCell ref="A19:A20"/>
  </mergeCells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B6B3-7D61-4AB6-AA4C-7F4309D0773C}">
  <sheetPr codeName="Sheet7">
    <tabColor rgb="FFFFC000"/>
  </sheetPr>
  <dimension ref="A3:K29"/>
  <sheetViews>
    <sheetView workbookViewId="0">
      <selection activeCell="O17" sqref="O17"/>
    </sheetView>
  </sheetViews>
  <sheetFormatPr defaultRowHeight="15" x14ac:dyDescent="0.25"/>
  <cols>
    <col min="1" max="1" width="25" bestFit="1" customWidth="1"/>
  </cols>
  <sheetData>
    <row r="3" spans="1:11" x14ac:dyDescent="0.25">
      <c r="A3" s="4" t="s">
        <v>1200</v>
      </c>
      <c r="B3" s="4" t="str">
        <f>Portfolio_BestFund!C4</f>
        <v>AAPL</v>
      </c>
      <c r="C3" s="4" t="str">
        <f>Portfolio_BestFund!D4</f>
        <v>MSFT</v>
      </c>
      <c r="D3" s="4" t="str">
        <f>Portfolio_BestFund!E4</f>
        <v>JNJ</v>
      </c>
      <c r="E3" s="4" t="str">
        <f>Portfolio_BestFund!F4</f>
        <v>PG</v>
      </c>
      <c r="F3" s="4" t="str">
        <f>Portfolio_BestFund!G4</f>
        <v>KO</v>
      </c>
      <c r="G3" s="4" t="str">
        <f>Portfolio_BestFund!H4</f>
        <v>PEP</v>
      </c>
      <c r="H3" s="4" t="str">
        <f>Portfolio_BestFund!I4</f>
        <v>XOM</v>
      </c>
      <c r="I3" s="4" t="str">
        <f>Portfolio_BestFund!J4</f>
        <v>JPM</v>
      </c>
      <c r="J3" s="4" t="str">
        <f>Portfolio_BestFund!K4</f>
        <v>VZ</v>
      </c>
      <c r="K3" s="4" t="str">
        <f>Portfolio_BestFund!L4</f>
        <v>WMT</v>
      </c>
    </row>
    <row r="4" spans="1:11" x14ac:dyDescent="0.25">
      <c r="A4" s="4" t="s">
        <v>1199</v>
      </c>
      <c r="B4">
        <v>0</v>
      </c>
      <c r="C4">
        <v>0.49248899860409356</v>
      </c>
      <c r="D4">
        <v>0</v>
      </c>
      <c r="E4">
        <v>0</v>
      </c>
      <c r="F4">
        <v>0</v>
      </c>
      <c r="G4">
        <v>0</v>
      </c>
      <c r="H4">
        <v>0</v>
      </c>
      <c r="I4">
        <v>0.2926736324358456</v>
      </c>
      <c r="J4">
        <v>0</v>
      </c>
      <c r="K4">
        <v>0.21483736896006073</v>
      </c>
    </row>
    <row r="5" spans="1:11" x14ac:dyDescent="0.25">
      <c r="A5" s="4" t="s">
        <v>1206</v>
      </c>
      <c r="B5">
        <v>2.2812152336797249E-2</v>
      </c>
      <c r="C5">
        <v>4.1435286024997901E-2</v>
      </c>
      <c r="D5">
        <v>-2.3129426481169799E-3</v>
      </c>
      <c r="E5">
        <v>-9.9166193607143314E-3</v>
      </c>
      <c r="F5">
        <v>3.4580940581963585E-4</v>
      </c>
      <c r="G5">
        <v>7.5597083511813514E-4</v>
      </c>
      <c r="H5">
        <v>-8.3046135156784103E-3</v>
      </c>
      <c r="I5">
        <v>2.0542452121764036E-2</v>
      </c>
      <c r="J5">
        <v>4.3147597170101202E-3</v>
      </c>
      <c r="K5">
        <v>1.3463033603295054E-2</v>
      </c>
    </row>
    <row r="6" spans="1:11" x14ac:dyDescent="0.25">
      <c r="A6" s="4" t="s">
        <v>1201</v>
      </c>
      <c r="B6">
        <f>SUM(B4:K4)</f>
        <v>0.99999999999999978</v>
      </c>
    </row>
    <row r="7" spans="1:11" x14ac:dyDescent="0.25">
      <c r="A7" s="4" t="s">
        <v>1202</v>
      </c>
      <c r="B7" cm="1">
        <f t="array" ref="B7">MMULT(B4:K4,TRANSPOSE(B5:K5))</f>
        <v>2.931101932049433E-2</v>
      </c>
    </row>
    <row r="8" spans="1:11" x14ac:dyDescent="0.25">
      <c r="A8" s="4" t="s">
        <v>1203</v>
      </c>
      <c r="B8" cm="1">
        <f t="array" ref="B8">MMULT(MMULT(B4:K4,covar!B2:K11),TRANSPOSE(B4:K4))</f>
        <v>1.0205947585853743E-3</v>
      </c>
    </row>
    <row r="9" spans="1:11" x14ac:dyDescent="0.25">
      <c r="A9" s="4" t="s">
        <v>1204</v>
      </c>
      <c r="B9">
        <f>SQRT(B8)</f>
        <v>3.1946748795227568E-2</v>
      </c>
    </row>
    <row r="10" spans="1:11" x14ac:dyDescent="0.25">
      <c r="A10" s="4" t="s">
        <v>1205</v>
      </c>
      <c r="B10">
        <f>(B7 - 0.0044) / B9</f>
        <v>0.77976696408667767</v>
      </c>
    </row>
    <row r="16" spans="1:11" x14ac:dyDescent="0.25">
      <c r="B16">
        <v>0</v>
      </c>
    </row>
    <row r="17" spans="2:2" x14ac:dyDescent="0.25">
      <c r="B17">
        <v>0</v>
      </c>
    </row>
    <row r="18" spans="2:2" x14ac:dyDescent="0.25">
      <c r="B18">
        <v>0</v>
      </c>
    </row>
    <row r="19" spans="2:2" x14ac:dyDescent="0.25">
      <c r="B19">
        <v>0</v>
      </c>
    </row>
    <row r="20" spans="2:2" x14ac:dyDescent="0.25">
      <c r="B20">
        <v>0</v>
      </c>
    </row>
    <row r="21" spans="2:2" x14ac:dyDescent="0.25">
      <c r="B21">
        <v>0</v>
      </c>
    </row>
    <row r="22" spans="2:2" x14ac:dyDescent="0.25">
      <c r="B22">
        <v>0</v>
      </c>
    </row>
    <row r="23" spans="2:2" x14ac:dyDescent="0.25">
      <c r="B23">
        <v>0</v>
      </c>
    </row>
    <row r="24" spans="2:2" x14ac:dyDescent="0.25">
      <c r="B24">
        <v>0</v>
      </c>
    </row>
    <row r="25" spans="2:2" x14ac:dyDescent="0.25">
      <c r="B25">
        <v>0</v>
      </c>
    </row>
    <row r="26" spans="2:2" x14ac:dyDescent="0.25">
      <c r="B26">
        <v>0</v>
      </c>
    </row>
    <row r="29" spans="2:2" x14ac:dyDescent="0.25">
      <c r="B29">
        <v>0</v>
      </c>
    </row>
  </sheetData>
  <scenarios current="0">
    <scenario name="Efficient_Portfolio" count="10" user="annie scar" comment="Created by annie scar on 3/31/2025">
      <inputCells r="B4" val="0"/>
      <inputCells r="C4" val="0.492488998604094"/>
      <inputCells r="D4" val="0"/>
      <inputCells r="E4" val="0"/>
      <inputCells r="F4" val="0"/>
      <inputCells r="G4" val="0"/>
      <inputCells r="H4" val="0"/>
      <inputCells r="I4" val="0.292673632435846"/>
      <inputCells r="J4" val="0"/>
      <inputCells r="K4" val="0.214837368960061"/>
    </scenario>
  </scenario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2334A-7416-43D4-BCBF-F6B5EEAF8F46}">
  <sheetPr codeName="Sheet11">
    <tabColor rgb="FFFFC000"/>
  </sheetPr>
  <dimension ref="A1:R31"/>
  <sheetViews>
    <sheetView zoomScale="112" workbookViewId="0">
      <selection activeCell="O12" sqref="O12"/>
    </sheetView>
  </sheetViews>
  <sheetFormatPr defaultRowHeight="15" x14ac:dyDescent="0.25"/>
  <cols>
    <col min="3" max="3" width="12.5703125" bestFit="1" customWidth="1"/>
    <col min="4" max="4" width="14.28515625" bestFit="1" customWidth="1"/>
    <col min="5" max="5" width="13.42578125" bestFit="1" customWidth="1"/>
    <col min="6" max="6" width="12" bestFit="1" customWidth="1"/>
    <col min="7" max="7" width="13.28515625" bestFit="1" customWidth="1"/>
    <col min="8" max="8" width="12.85546875" bestFit="1" customWidth="1"/>
    <col min="9" max="10" width="12" bestFit="1" customWidth="1"/>
    <col min="11" max="11" width="12.42578125" bestFit="1" customWidth="1"/>
    <col min="16" max="16" width="7" bestFit="1" customWidth="1"/>
  </cols>
  <sheetData>
    <row r="1" spans="1:18" ht="30" x14ac:dyDescent="0.25">
      <c r="A1" s="21" t="s">
        <v>1213</v>
      </c>
      <c r="B1" s="21" t="s">
        <v>1</v>
      </c>
      <c r="C1" s="21" t="s">
        <v>777</v>
      </c>
      <c r="D1" s="21" t="s">
        <v>5</v>
      </c>
      <c r="E1" s="21" t="s">
        <v>1167</v>
      </c>
      <c r="F1" s="21" t="s">
        <v>1168</v>
      </c>
      <c r="G1" s="21" t="s">
        <v>26</v>
      </c>
      <c r="H1" s="21" t="s">
        <v>30</v>
      </c>
      <c r="I1" s="21" t="s">
        <v>674</v>
      </c>
      <c r="J1" s="21" t="s">
        <v>1169</v>
      </c>
      <c r="K1" s="21" t="s">
        <v>1170</v>
      </c>
      <c r="L1" s="21" t="s">
        <v>1208</v>
      </c>
      <c r="M1" s="21" t="s">
        <v>1214</v>
      </c>
      <c r="P1" s="40" t="s">
        <v>1245</v>
      </c>
      <c r="Q1" s="40" t="s">
        <v>1246</v>
      </c>
      <c r="R1" s="40" t="s">
        <v>1247</v>
      </c>
    </row>
    <row r="2" spans="1:18" x14ac:dyDescent="0.25">
      <c r="A2" t="s">
        <v>1215</v>
      </c>
      <c r="B2">
        <v>0.12867886939573989</v>
      </c>
      <c r="C2">
        <v>9.7286715142197375E-2</v>
      </c>
      <c r="D2">
        <v>0.10569352042584881</v>
      </c>
      <c r="E2">
        <v>5.2810859431444028E-2</v>
      </c>
      <c r="F2">
        <v>5.5069755082531521E-2</v>
      </c>
      <c r="G2">
        <v>0.14129832292746963</v>
      </c>
      <c r="H2">
        <v>2.5565596021839025E-3</v>
      </c>
      <c r="I2">
        <v>0.13874196987028137</v>
      </c>
      <c r="J2">
        <v>0.14854797617918739</v>
      </c>
      <c r="K2">
        <v>0.12931545194311608</v>
      </c>
      <c r="L2">
        <f>SUMPRODUCT(B2:K2, 'efficient portfolio'!$B$5:$K$5)</f>
        <v>1.1535033780393849E-2</v>
      </c>
      <c r="M2" cm="1">
        <f t="array" ref="M2">SQRT(MMULT(MMULT(B2:K2, covar!$B$2:$K$11), TRANSPOSE(B2:K2)))</f>
        <v>3.3481070081378184E-2</v>
      </c>
      <c r="P2" s="40"/>
      <c r="Q2" s="40"/>
      <c r="R2" s="40"/>
    </row>
    <row r="3" spans="1:18" x14ac:dyDescent="0.25">
      <c r="A3" t="s">
        <v>1216</v>
      </c>
      <c r="B3">
        <v>7.9716832811980737E-3</v>
      </c>
      <c r="C3">
        <v>7.2774793726737758E-2</v>
      </c>
      <c r="D3">
        <v>0.15162315661509596</v>
      </c>
      <c r="E3">
        <v>0.13894318142780396</v>
      </c>
      <c r="F3">
        <v>6.5656692911999923E-2</v>
      </c>
      <c r="G3">
        <v>0.16908312656338598</v>
      </c>
      <c r="H3">
        <v>0.15317459518400503</v>
      </c>
      <c r="I3">
        <v>9.8847896254057009E-3</v>
      </c>
      <c r="J3">
        <v>0.16690418324659861</v>
      </c>
      <c r="K3">
        <v>6.3983797417768981E-2</v>
      </c>
      <c r="L3">
        <f>SUMPRODUCT(B3:K3, 'efficient portfolio'!$B$5:$K$5)</f>
        <v>2.1318494182267968E-3</v>
      </c>
      <c r="M3" cm="1">
        <f t="array" ref="M3">SQRT(MMULT(MMULT(B3:K3, covar!$B$2:$K$11), TRANSPOSE(B3:K3)))</f>
        <v>3.3320790051422543E-2</v>
      </c>
    </row>
    <row r="4" spans="1:18" x14ac:dyDescent="0.25">
      <c r="A4" t="s">
        <v>1217</v>
      </c>
      <c r="B4">
        <v>0.11616087764538359</v>
      </c>
      <c r="C4">
        <v>0.16977276340805672</v>
      </c>
      <c r="D4">
        <v>1.1841315708253098E-2</v>
      </c>
      <c r="E4">
        <v>0.13111946977174371</v>
      </c>
      <c r="F4">
        <v>0.10373002691393395</v>
      </c>
      <c r="G4">
        <v>6.598826937298477E-2</v>
      </c>
      <c r="H4">
        <v>0.13781167042429121</v>
      </c>
      <c r="I4">
        <v>0.14337207886095149</v>
      </c>
      <c r="J4">
        <v>5.838114244582121E-2</v>
      </c>
      <c r="K4">
        <v>6.1822385448580271E-2</v>
      </c>
      <c r="L4">
        <f>SUMPRODUCT(B4:K4, 'efficient portfolio'!$B$5:$K$5)</f>
        <v>1.1327527376115275E-2</v>
      </c>
      <c r="M4" cm="1">
        <f t="array" ref="M4">SQRT(MMULT(MMULT(B4:K4, covar!$B$2:$K$11), TRANSPOSE(B4:K4)))</f>
        <v>3.0898088016822214E-2</v>
      </c>
    </row>
    <row r="5" spans="1:18" x14ac:dyDescent="0.25">
      <c r="A5" t="s">
        <v>1218</v>
      </c>
      <c r="B5">
        <v>0.12166441666945081</v>
      </c>
      <c r="C5">
        <v>0.12090207402764522</v>
      </c>
      <c r="D5">
        <v>8.6382301171197856E-2</v>
      </c>
      <c r="E5">
        <v>0.14457967635049143</v>
      </c>
      <c r="F5">
        <v>0.13356438317139871</v>
      </c>
      <c r="G5">
        <v>3.3262794084665745E-2</v>
      </c>
      <c r="H5">
        <v>0.10191691687811998</v>
      </c>
      <c r="I5">
        <v>0.14368677948349659</v>
      </c>
      <c r="J5">
        <v>3.5764892595925482E-2</v>
      </c>
      <c r="K5">
        <v>7.8275765567608194E-2</v>
      </c>
      <c r="L5">
        <f>SUMPRODUCT(B5:K5, 'efficient portfolio'!$B$5:$K$5)</f>
        <v>9.5362781842076409E-3</v>
      </c>
      <c r="M5" cm="1">
        <f t="array" ref="M5">SQRT(MMULT(MMULT(B5:K5, covar!$B$2:$K$11), TRANSPOSE(B5:K5)))</f>
        <v>3.2910349832727219E-2</v>
      </c>
    </row>
    <row r="6" spans="1:18" x14ac:dyDescent="0.25">
      <c r="A6" t="s">
        <v>1219</v>
      </c>
      <c r="B6">
        <v>2.8710255187699849E-2</v>
      </c>
      <c r="C6">
        <v>0.26975213905105627</v>
      </c>
      <c r="D6">
        <v>0.1825067395023765</v>
      </c>
      <c r="E6">
        <v>4.2386465405121207E-3</v>
      </c>
      <c r="F6">
        <v>0.15524795063897998</v>
      </c>
      <c r="G6">
        <v>2.7005114873952681E-2</v>
      </c>
      <c r="H6">
        <v>2.7806855314334137E-2</v>
      </c>
      <c r="I6">
        <v>0.2156270095293934</v>
      </c>
      <c r="J6">
        <v>7.67841146027268E-2</v>
      </c>
      <c r="K6">
        <v>1.2321174758968283E-2</v>
      </c>
      <c r="L6">
        <f>SUMPRODUCT(B6:K6, 'efficient portfolio'!$B$5:$K$5)</f>
        <v>1.6137908094854856E-2</v>
      </c>
      <c r="M6" cm="1">
        <f t="array" ref="M6">SQRT(MMULT(MMULT(B6:K6, covar!$B$2:$K$11), TRANSPOSE(B6:K6)))</f>
        <v>3.5241185157185342E-2</v>
      </c>
    </row>
    <row r="7" spans="1:18" x14ac:dyDescent="0.25">
      <c r="A7" t="s">
        <v>1220</v>
      </c>
      <c r="B7">
        <v>6.4910024588853824E-2</v>
      </c>
      <c r="C7">
        <v>8.3835699517422632E-2</v>
      </c>
      <c r="D7">
        <v>6.6050694580802469E-2</v>
      </c>
      <c r="E7">
        <v>0.20817249590385251</v>
      </c>
      <c r="F7">
        <v>0.21503240900065826</v>
      </c>
      <c r="G7">
        <v>8.808522566297404E-2</v>
      </c>
      <c r="H7">
        <v>6.1071051737576626E-2</v>
      </c>
      <c r="I7">
        <v>3.5210340804886164E-2</v>
      </c>
      <c r="J7">
        <v>3.5732669346072166E-2</v>
      </c>
      <c r="K7">
        <v>0.14189938885690129</v>
      </c>
      <c r="L7">
        <f>SUMPRODUCT(B7:K7, 'efficient portfolio'!$B$5:$K$5)</f>
        <v>5.1590141584707712E-3</v>
      </c>
      <c r="M7" cm="1">
        <f t="array" ref="M7">SQRT(MMULT(MMULT(B7:K7, covar!$B$2:$K$11), TRANSPOSE(B7:K7)))</f>
        <v>3.3236976996188612E-2</v>
      </c>
    </row>
    <row r="8" spans="1:18" x14ac:dyDescent="0.25">
      <c r="A8" t="s">
        <v>1221</v>
      </c>
      <c r="B8">
        <v>0.10224797803903259</v>
      </c>
      <c r="C8">
        <v>0.10291960075253964</v>
      </c>
      <c r="D8">
        <v>0.17771277295438304</v>
      </c>
      <c r="E8">
        <v>8.1336511217017779E-2</v>
      </c>
      <c r="F8">
        <v>0.15787732029626422</v>
      </c>
      <c r="G8">
        <v>5.175345604213661E-2</v>
      </c>
      <c r="H8">
        <v>4.6380756709587592E-2</v>
      </c>
      <c r="I8">
        <v>0.14545519072986771</v>
      </c>
      <c r="J8">
        <v>2.0125452304257708E-2</v>
      </c>
      <c r="K8">
        <v>0.11419096095491311</v>
      </c>
      <c r="L8">
        <f>SUMPRODUCT(B8:K8, 'efficient portfolio'!$B$5:$K$5)</f>
        <v>9.7001217058855903E-3</v>
      </c>
      <c r="M8" cm="1">
        <f t="array" ref="M8">SQRT(MMULT(MMULT(B8:K8, covar!$B$2:$K$11), TRANSPOSE(B8:K8)))</f>
        <v>3.3091111326181824E-2</v>
      </c>
    </row>
    <row r="9" spans="1:18" x14ac:dyDescent="0.25">
      <c r="A9" t="s">
        <v>1222</v>
      </c>
      <c r="B9">
        <v>0.17005594918366485</v>
      </c>
      <c r="C9">
        <v>4.907338651491757E-2</v>
      </c>
      <c r="D9">
        <v>0.14742807922425805</v>
      </c>
      <c r="E9">
        <v>7.1141118910483428E-2</v>
      </c>
      <c r="F9">
        <v>5.4386266463679285E-2</v>
      </c>
      <c r="G9">
        <v>0.1726182998795355</v>
      </c>
      <c r="H9">
        <v>0.11861324747273064</v>
      </c>
      <c r="I9">
        <v>0.11784337726915614</v>
      </c>
      <c r="J9">
        <v>8.0445130081630997E-2</v>
      </c>
      <c r="K9">
        <v>1.839514499994354E-2</v>
      </c>
      <c r="L9">
        <f>SUMPRODUCT(B9:K9, 'efficient portfolio'!$B$5:$K$5)</f>
        <v>7.0460522380217765E-3</v>
      </c>
      <c r="M9" cm="1">
        <f t="array" ref="M9">SQRT(MMULT(MMULT(B9:K9, covar!$B$2:$K$11), TRANSPOSE(B9:K9)))</f>
        <v>3.3352653221690898E-2</v>
      </c>
    </row>
    <row r="10" spans="1:18" x14ac:dyDescent="0.25">
      <c r="A10" t="s">
        <v>1223</v>
      </c>
      <c r="B10">
        <v>9.2020903948676916E-2</v>
      </c>
      <c r="C10">
        <v>0.1139083735974258</v>
      </c>
      <c r="D10">
        <v>0.14986649980808714</v>
      </c>
      <c r="E10">
        <v>0.13692538242060698</v>
      </c>
      <c r="F10">
        <v>3.7116055640873508E-3</v>
      </c>
      <c r="G10">
        <v>8.912113847428399E-2</v>
      </c>
      <c r="H10">
        <v>0.15026775657744987</v>
      </c>
      <c r="I10">
        <v>7.0570745912030469E-2</v>
      </c>
      <c r="J10">
        <v>0.11119590169060552</v>
      </c>
      <c r="K10">
        <v>8.2411692006745974E-2</v>
      </c>
      <c r="L10">
        <f>SUMPRODUCT(B10:K10, 'efficient portfolio'!$B$5:$K$5)</f>
        <v>6.9742833950307195E-3</v>
      </c>
      <c r="M10" cm="1">
        <f t="array" ref="M10">SQRT(MMULT(MMULT(B10:K10, covar!$B$2:$K$11), TRANSPOSE(B10:K10)))</f>
        <v>3.2044983307639101E-2</v>
      </c>
    </row>
    <row r="11" spans="1:18" x14ac:dyDescent="0.25">
      <c r="A11" t="s">
        <v>1224</v>
      </c>
      <c r="B11">
        <v>0.13756599898736208</v>
      </c>
      <c r="C11">
        <v>0.12397442398935835</v>
      </c>
      <c r="D11">
        <v>9.4651097585969568E-2</v>
      </c>
      <c r="E11">
        <v>0.10840441757589968</v>
      </c>
      <c r="F11">
        <v>7.2227342657308055E-2</v>
      </c>
      <c r="G11">
        <v>1.4886540452902896E-2</v>
      </c>
      <c r="H11">
        <v>6.5295610519591665E-2</v>
      </c>
      <c r="I11">
        <v>0.26217247975837399</v>
      </c>
      <c r="J11">
        <v>1.6311840386198647E-2</v>
      </c>
      <c r="K11">
        <v>0.10451024808703509</v>
      </c>
      <c r="L11">
        <f>SUMPRODUCT(B11:K11, 'efficient portfolio'!$B$5:$K$5)</f>
        <v>1.333821247863368E-2</v>
      </c>
      <c r="M11" cm="1">
        <f t="array" ref="M11">SQRT(MMULT(MMULT(B11:K11, covar!$B$2:$K$11), TRANSPOSE(B11:K11)))</f>
        <v>3.4154610522313431E-2</v>
      </c>
    </row>
    <row r="12" spans="1:18" x14ac:dyDescent="0.25">
      <c r="A12" t="s">
        <v>1225</v>
      </c>
      <c r="B12">
        <v>7.82840572557046E-2</v>
      </c>
      <c r="C12">
        <v>0.10507241017730956</v>
      </c>
      <c r="D12">
        <v>3.3386547494082715E-2</v>
      </c>
      <c r="E12">
        <v>0.10176179452687986</v>
      </c>
      <c r="F12">
        <v>5.5178653344193411E-2</v>
      </c>
      <c r="G12">
        <v>0.13485442558243771</v>
      </c>
      <c r="H12">
        <v>0.11626298038785643</v>
      </c>
      <c r="I12">
        <v>3.352363009032916E-2</v>
      </c>
      <c r="J12">
        <v>0.20129875500801153</v>
      </c>
      <c r="K12">
        <v>0.14037674613319501</v>
      </c>
      <c r="L12">
        <f>SUMPRODUCT(B12:K12, 'efficient portfolio'!$B$5:$K$5)</f>
        <v>7.6557974246690393E-3</v>
      </c>
      <c r="M12" cm="1">
        <f t="array" ref="M12">SQRT(MMULT(MMULT(B12:K12, covar!$B$2:$K$11), TRANSPOSE(B12:K12)))</f>
        <v>3.2425747493294785E-2</v>
      </c>
    </row>
    <row r="13" spans="1:18" x14ac:dyDescent="0.25">
      <c r="A13" t="s">
        <v>1226</v>
      </c>
      <c r="B13">
        <v>0.10862085201427434</v>
      </c>
      <c r="C13">
        <v>8.3806365507017769E-2</v>
      </c>
      <c r="D13">
        <v>2.3045821752432399E-2</v>
      </c>
      <c r="E13">
        <v>0.1682678536296166</v>
      </c>
      <c r="F13">
        <v>9.8652088736479807E-2</v>
      </c>
      <c r="G13">
        <v>0.16176306557368011</v>
      </c>
      <c r="H13">
        <v>0.127938973633304</v>
      </c>
      <c r="I13">
        <v>0.17872776057968975</v>
      </c>
      <c r="J13">
        <v>4.0260809161758648E-3</v>
      </c>
      <c r="K13">
        <v>4.5151137657329372E-2</v>
      </c>
      <c r="L13">
        <f>SUMPRODUCT(B13:K13, 'efficient portfolio'!$B$5:$K$5)</f>
        <v>7.6191327996649513E-3</v>
      </c>
      <c r="M13" cm="1">
        <f t="array" ref="M13">SQRT(MMULT(MMULT(B13:K13, covar!$B$2:$K$11), TRANSPOSE(B13:K13)))</f>
        <v>3.3837538498141494E-2</v>
      </c>
    </row>
    <row r="14" spans="1:18" x14ac:dyDescent="0.25">
      <c r="A14" t="s">
        <v>1227</v>
      </c>
      <c r="B14">
        <v>2.2500374981767754E-2</v>
      </c>
      <c r="C14">
        <v>3.2084076579446688E-2</v>
      </c>
      <c r="D14">
        <v>0.10091836122367717</v>
      </c>
      <c r="E14">
        <v>3.9020155730186565E-2</v>
      </c>
      <c r="F14">
        <v>7.3391426144115115E-5</v>
      </c>
      <c r="G14">
        <v>0.1633201330925495</v>
      </c>
      <c r="H14">
        <v>0.19990963079941651</v>
      </c>
      <c r="I14">
        <v>0.16551679814044587</v>
      </c>
      <c r="J14">
        <v>0.25174087926555477</v>
      </c>
      <c r="K14">
        <v>2.4916198760811067E-2</v>
      </c>
      <c r="L14">
        <f>SUMPRODUCT(B14:K14, 'efficient portfolio'!$B$5:$K$5)</f>
        <v>4.5074168005227082E-3</v>
      </c>
      <c r="M14" cm="1">
        <f t="array" ref="M14">SQRT(MMULT(MMULT(B14:K14, covar!$B$2:$K$11), TRANSPOSE(B14:K14)))</f>
        <v>3.3413437075975057E-2</v>
      </c>
    </row>
    <row r="15" spans="1:18" x14ac:dyDescent="0.25">
      <c r="A15" t="s">
        <v>1228</v>
      </c>
      <c r="B15">
        <v>3.9630374396251951E-2</v>
      </c>
      <c r="C15">
        <v>0.14018988093096674</v>
      </c>
      <c r="D15">
        <v>9.3790087072791378E-2</v>
      </c>
      <c r="E15">
        <v>7.3722262661051835E-2</v>
      </c>
      <c r="F15">
        <v>3.0969828188602194E-2</v>
      </c>
      <c r="G15">
        <v>0.14545178491425306</v>
      </c>
      <c r="H15">
        <v>0.19178647021227371</v>
      </c>
      <c r="I15">
        <v>0.10948441318916288</v>
      </c>
      <c r="J15">
        <v>1.8510191341996596E-2</v>
      </c>
      <c r="K15">
        <v>0.15646470709264962</v>
      </c>
      <c r="L15">
        <f>SUMPRODUCT(B15:K15, 'efficient portfolio'!$B$5:$K$5)</f>
        <v>8.7282446483337457E-3</v>
      </c>
      <c r="M15" cm="1">
        <f t="array" ref="M15">SQRT(MMULT(MMULT(B15:K15, covar!$B$2:$K$11), TRANSPOSE(B15:K15)))</f>
        <v>2.7681605224607189E-2</v>
      </c>
    </row>
    <row r="16" spans="1:18" x14ac:dyDescent="0.25">
      <c r="A16" t="s">
        <v>1229</v>
      </c>
      <c r="B16">
        <v>0.10647962839574054</v>
      </c>
      <c r="C16">
        <v>0.12238691767977203</v>
      </c>
      <c r="D16">
        <v>0.13041345937909207</v>
      </c>
      <c r="E16">
        <v>5.5016832973723118E-2</v>
      </c>
      <c r="F16">
        <v>8.7373034071552322E-2</v>
      </c>
      <c r="G16">
        <v>2.5286679069248225E-2</v>
      </c>
      <c r="H16">
        <v>0.15628252520839628</v>
      </c>
      <c r="I16">
        <v>4.5012870741079652E-2</v>
      </c>
      <c r="J16">
        <v>0.24579872170891739</v>
      </c>
      <c r="K16">
        <v>2.5949330772478373E-2</v>
      </c>
      <c r="L16">
        <f>SUMPRODUCT(B16:K16, 'efficient portfolio'!$B$5:$K$5)</f>
        <v>7.7390049153268194E-3</v>
      </c>
      <c r="M16" cm="1">
        <f t="array" ref="M16">SQRT(MMULT(MMULT(B16:K16, covar!$B$2:$K$11), TRANSPOSE(B16:K16)))</f>
        <v>3.5623745631342282E-2</v>
      </c>
    </row>
    <row r="17" spans="1:13" x14ac:dyDescent="0.25">
      <c r="A17" t="s">
        <v>1230</v>
      </c>
      <c r="B17">
        <v>0.11133227732694605</v>
      </c>
      <c r="C17">
        <v>6.8462176533009664E-2</v>
      </c>
      <c r="D17">
        <v>0.21885748074467273</v>
      </c>
      <c r="E17">
        <v>0.18829203562566135</v>
      </c>
      <c r="F17">
        <v>6.8461055253186257E-2</v>
      </c>
      <c r="G17">
        <v>0.16896813835540514</v>
      </c>
      <c r="H17">
        <v>6.4369221120014128E-2</v>
      </c>
      <c r="I17">
        <v>2.2548399034425577E-2</v>
      </c>
      <c r="J17">
        <v>7.7632182333614444E-3</v>
      </c>
      <c r="K17">
        <v>8.0945997773317679E-2</v>
      </c>
      <c r="L17">
        <f>SUMPRODUCT(B17:K17, 'efficient portfolio'!$B$5:$K$5)</f>
        <v>4.2063759646584929E-3</v>
      </c>
      <c r="M17" cm="1">
        <f t="array" ref="M17">SQRT(MMULT(MMULT(B17:K17, covar!$B$2:$K$11), TRANSPOSE(B17:K17)))</f>
        <v>3.468487697383682E-2</v>
      </c>
    </row>
    <row r="18" spans="1:13" x14ac:dyDescent="0.25">
      <c r="A18" t="s">
        <v>1231</v>
      </c>
      <c r="B18">
        <v>0.19771679288034999</v>
      </c>
      <c r="C18">
        <v>7.4383943243210876E-2</v>
      </c>
      <c r="D18">
        <v>5.8875521642033884E-2</v>
      </c>
      <c r="E18">
        <v>0.1202309147434821</v>
      </c>
      <c r="F18">
        <v>6.370994801988604E-2</v>
      </c>
      <c r="G18">
        <v>8.5231207004565226E-2</v>
      </c>
      <c r="H18">
        <v>1.1243960266990156E-2</v>
      </c>
      <c r="I18">
        <v>0.12071971189664586</v>
      </c>
      <c r="J18">
        <v>5.1552423904841639E-2</v>
      </c>
      <c r="K18">
        <v>0.21633557639799425</v>
      </c>
      <c r="L18">
        <f>SUMPRODUCT(B18:K18, 'efficient portfolio'!$B$5:$K$5)</f>
        <v>1.1871941060848747E-2</v>
      </c>
      <c r="M18" cm="1">
        <f t="array" ref="M18">SQRT(MMULT(MMULT(B18:K18, covar!$B$2:$K$11), TRANSPOSE(B18:K18)))</f>
        <v>3.1940579072651833E-2</v>
      </c>
    </row>
    <row r="19" spans="1:13" x14ac:dyDescent="0.25">
      <c r="A19" t="s">
        <v>1232</v>
      </c>
      <c r="B19">
        <v>0.11011615990198724</v>
      </c>
      <c r="C19">
        <v>0.14122250776744086</v>
      </c>
      <c r="D19">
        <v>0.17358131132369517</v>
      </c>
      <c r="E19">
        <v>6.1924123802575635E-2</v>
      </c>
      <c r="F19">
        <v>0.10156930164690163</v>
      </c>
      <c r="G19">
        <v>1.5095121748418511E-2</v>
      </c>
      <c r="H19">
        <v>0.11867347721691732</v>
      </c>
      <c r="I19">
        <v>7.6706544192488263E-2</v>
      </c>
      <c r="J19">
        <v>0.17966859565701701</v>
      </c>
      <c r="K19">
        <v>2.1442856742558372E-2</v>
      </c>
      <c r="L19">
        <f>SUMPRODUCT(B19:K19, 'efficient portfolio'!$B$5:$K$5)</f>
        <v>9.0486709941928981E-3</v>
      </c>
      <c r="M19" cm="1">
        <f t="array" ref="M19">SQRT(MMULT(MMULT(B19:K19, covar!$B$2:$K$11), TRANSPOSE(B19:K19)))</f>
        <v>3.4795925201569572E-2</v>
      </c>
    </row>
    <row r="20" spans="1:13" x14ac:dyDescent="0.25">
      <c r="A20" t="s">
        <v>1233</v>
      </c>
      <c r="B20">
        <v>0.21787365562028393</v>
      </c>
      <c r="C20">
        <v>0.14632956280348272</v>
      </c>
      <c r="D20">
        <v>8.2041062966168934E-2</v>
      </c>
      <c r="E20">
        <v>3.5212393723964105E-2</v>
      </c>
      <c r="F20">
        <v>0.11324399412785513</v>
      </c>
      <c r="G20">
        <v>5.1766435382745606E-2</v>
      </c>
      <c r="H20">
        <v>0.23445666677462257</v>
      </c>
      <c r="I20">
        <v>3.077083566630353E-2</v>
      </c>
      <c r="J20">
        <v>6.8151863327095092E-3</v>
      </c>
      <c r="K20">
        <v>8.1490206601863971E-2</v>
      </c>
      <c r="L20">
        <f>SUMPRODUCT(B20:K20, 'efficient portfolio'!$B$5:$K$5)</f>
        <v>1.0384272581754853E-2</v>
      </c>
      <c r="M20" cm="1">
        <f t="array" ref="M20">SQRT(MMULT(MMULT(B20:K20, covar!$B$2:$K$11), TRANSPOSE(B20:K20)))</f>
        <v>3.1232949157536941E-2</v>
      </c>
    </row>
    <row r="21" spans="1:13" x14ac:dyDescent="0.25">
      <c r="A21" t="s">
        <v>1234</v>
      </c>
      <c r="B21">
        <v>8.0307282595198815E-2</v>
      </c>
      <c r="C21">
        <v>0.13533728955906205</v>
      </c>
      <c r="D21">
        <v>7.8925662339851224E-2</v>
      </c>
      <c r="E21">
        <v>5.9595520833245021E-2</v>
      </c>
      <c r="F21">
        <v>0.12423570624399483</v>
      </c>
      <c r="G21">
        <v>0.12115344271339527</v>
      </c>
      <c r="H21">
        <v>9.860130942164276E-2</v>
      </c>
      <c r="I21">
        <v>0.10585496871426958</v>
      </c>
      <c r="J21">
        <v>0.14616140911176975</v>
      </c>
      <c r="K21">
        <v>4.982740846757068E-2</v>
      </c>
      <c r="L21">
        <f>SUMPRODUCT(B21:K21, 'efficient portfolio'!$B$5:$K$5)</f>
        <v>9.457889280461429E-3</v>
      </c>
      <c r="M21" cm="1">
        <f t="array" ref="M21">SQRT(MMULT(MMULT(B21:K21, covar!$B$2:$K$11), TRANSPOSE(B21:K21)))</f>
        <v>3.2540151673253755E-2</v>
      </c>
    </row>
    <row r="22" spans="1:13" x14ac:dyDescent="0.25">
      <c r="A22" t="s">
        <v>1235</v>
      </c>
      <c r="B22">
        <v>9.8240140258006411E-2</v>
      </c>
      <c r="C22">
        <v>8.1924654054881058E-2</v>
      </c>
      <c r="D22">
        <v>0.13793017538009275</v>
      </c>
      <c r="E22">
        <v>3.552778097068994E-2</v>
      </c>
      <c r="F22">
        <v>8.389862856181636E-2</v>
      </c>
      <c r="G22">
        <v>0.10775558870350843</v>
      </c>
      <c r="H22">
        <v>0.16161323430474708</v>
      </c>
      <c r="I22">
        <v>0.10730656954149094</v>
      </c>
      <c r="J22">
        <v>8.4814166974327282E-2</v>
      </c>
      <c r="K22">
        <v>0.10098906125043973</v>
      </c>
      <c r="L22">
        <f>SUMPRODUCT(B22:K22, 'efficient portfolio'!$B$5:$K$5)</f>
        <v>7.6625499634834253E-3</v>
      </c>
      <c r="M22" cm="1">
        <f t="array" ref="M22">SQRT(MMULT(MMULT(B22:K22, covar!$B$2:$K$11), TRANSPOSE(B22:K22)))</f>
        <v>3.0273435910912048E-2</v>
      </c>
    </row>
    <row r="23" spans="1:13" x14ac:dyDescent="0.25">
      <c r="A23" t="s">
        <v>1236</v>
      </c>
      <c r="B23">
        <v>5.0059344214824233E-2</v>
      </c>
      <c r="C23">
        <v>0.13607826847430987</v>
      </c>
      <c r="D23">
        <v>0.10764956864870157</v>
      </c>
      <c r="E23">
        <v>0.14962303026322443</v>
      </c>
      <c r="F23">
        <v>0.19484725566589656</v>
      </c>
      <c r="G23">
        <v>8.1427805290509206E-2</v>
      </c>
      <c r="H23">
        <v>6.6479602303441312E-2</v>
      </c>
      <c r="I23">
        <v>6.4363063802297754E-2</v>
      </c>
      <c r="J23">
        <v>3.3033769502319829E-2</v>
      </c>
      <c r="K23">
        <v>0.11643829183447524</v>
      </c>
      <c r="L23">
        <f>SUMPRODUCT(B23:K23, 'efficient portfolio'!$B$5:$K$5)</f>
        <v>7.6568316710970055E-3</v>
      </c>
      <c r="M23" cm="1">
        <f t="array" ref="M23">SQRT(MMULT(MMULT(B23:K23, covar!$B$2:$K$11), TRANSPOSE(B23:K23)))</f>
        <v>3.2029712921041814E-2</v>
      </c>
    </row>
    <row r="24" spans="1:13" x14ac:dyDescent="0.25">
      <c r="A24" t="s">
        <v>1237</v>
      </c>
      <c r="B24">
        <v>4.0275069194649474E-2</v>
      </c>
      <c r="C24">
        <v>0.10544553528723635</v>
      </c>
      <c r="D24">
        <v>6.5565742741995683E-2</v>
      </c>
      <c r="E24">
        <v>0.15802051234421277</v>
      </c>
      <c r="F24">
        <v>8.6230855863835332E-2</v>
      </c>
      <c r="G24">
        <v>3.4389111507830958E-2</v>
      </c>
      <c r="H24">
        <v>0.12340068838694042</v>
      </c>
      <c r="I24">
        <v>0.134829271550897</v>
      </c>
      <c r="J24">
        <v>0.11075013673989363</v>
      </c>
      <c r="K24">
        <v>0.14109307638250837</v>
      </c>
      <c r="L24">
        <f>SUMPRODUCT(B24:K24, 'efficient portfolio'!$B$5:$K$5)</f>
        <v>7.7473943481711919E-3</v>
      </c>
      <c r="M24" cm="1">
        <f t="array" ref="M24">SQRT(MMULT(MMULT(B24:K24, covar!$B$2:$K$11), TRANSPOSE(B24:K24)))</f>
        <v>3.25109468516942E-2</v>
      </c>
    </row>
    <row r="25" spans="1:13" x14ac:dyDescent="0.25">
      <c r="A25" t="s">
        <v>1238</v>
      </c>
      <c r="B25">
        <v>4.0312892133347579E-2</v>
      </c>
      <c r="C25">
        <v>0.20133049632692029</v>
      </c>
      <c r="D25">
        <v>5.0500450302246896E-2</v>
      </c>
      <c r="E25">
        <v>0.23846283126087436</v>
      </c>
      <c r="F25">
        <v>1.6412667517776515E-2</v>
      </c>
      <c r="G25">
        <v>1.5333763448994177E-2</v>
      </c>
      <c r="H25">
        <v>0.19769603434380803</v>
      </c>
      <c r="I25">
        <v>9.4612421781683387E-2</v>
      </c>
      <c r="J25">
        <v>0.11554336869756796</v>
      </c>
      <c r="K25">
        <v>2.9795074186780793E-2</v>
      </c>
      <c r="L25">
        <f>SUMPRODUCT(B25:K25, 'efficient portfolio'!$B$5:$K$5)</f>
        <v>7.998984239140269E-3</v>
      </c>
      <c r="M25" cm="1">
        <f t="array" ref="M25">SQRT(MMULT(MMULT(B25:K25, covar!$B$2:$K$11), TRANSPOSE(B25:K25)))</f>
        <v>3.3944657850464216E-2</v>
      </c>
    </row>
    <row r="26" spans="1:13" x14ac:dyDescent="0.25">
      <c r="A26" t="s">
        <v>1239</v>
      </c>
      <c r="B26">
        <v>2.6669832463984959E-2</v>
      </c>
      <c r="C26">
        <v>4.0135993820059668E-2</v>
      </c>
      <c r="D26">
        <v>1.1113895202885055E-2</v>
      </c>
      <c r="E26">
        <v>0.16509927622929366</v>
      </c>
      <c r="F26">
        <v>0.1231107898690466</v>
      </c>
      <c r="G26">
        <v>0.12957486175208435</v>
      </c>
      <c r="H26">
        <v>5.0058378508514911E-2</v>
      </c>
      <c r="I26">
        <v>0.10809405413675861</v>
      </c>
      <c r="J26">
        <v>0.17238362497532142</v>
      </c>
      <c r="K26">
        <v>0.17375929304205079</v>
      </c>
      <c r="L26">
        <f>SUMPRODUCT(B26:K26, 'efficient portfolio'!$B$5:$K$5)</f>
        <v>5.6369604360864481E-3</v>
      </c>
      <c r="M26" cm="1">
        <f t="array" ref="M26">SQRT(MMULT(MMULT(B26:K26, covar!$B$2:$K$11), TRANSPOSE(B26:K26)))</f>
        <v>3.4614213418523401E-2</v>
      </c>
    </row>
    <row r="27" spans="1:13" x14ac:dyDescent="0.25">
      <c r="A27" t="s">
        <v>1240</v>
      </c>
      <c r="B27">
        <v>8.6568181694425136E-2</v>
      </c>
      <c r="C27">
        <v>0.1959721666070034</v>
      </c>
      <c r="D27">
        <v>0.16188326922351365</v>
      </c>
      <c r="E27">
        <v>1.9217386075561095E-2</v>
      </c>
      <c r="F27">
        <v>0.137701741183788</v>
      </c>
      <c r="G27">
        <v>0.1547268467950029</v>
      </c>
      <c r="H27">
        <v>3.4030758201288301E-3</v>
      </c>
      <c r="I27">
        <v>9.3558192839686971E-2</v>
      </c>
      <c r="J27">
        <v>8.7230101780819316E-2</v>
      </c>
      <c r="K27">
        <v>5.9739037980070714E-2</v>
      </c>
      <c r="L27">
        <f>SUMPRODUCT(B27:K27, 'efficient portfolio'!$B$5:$K$5)</f>
        <v>1.2768857717881606E-2</v>
      </c>
      <c r="M27" cm="1">
        <f t="array" ref="M27">SQRT(MMULT(MMULT(B27:K27, covar!$B$2:$K$11), TRANSPOSE(B27:K27)))</f>
        <v>3.4804188214732433E-2</v>
      </c>
    </row>
    <row r="28" spans="1:13" x14ac:dyDescent="0.25">
      <c r="A28" t="s">
        <v>1241</v>
      </c>
      <c r="B28">
        <v>0.1707788598692136</v>
      </c>
      <c r="C28">
        <v>0.13909943973486405</v>
      </c>
      <c r="D28">
        <v>0.1206438432966665</v>
      </c>
      <c r="E28">
        <v>7.2375688490307608E-2</v>
      </c>
      <c r="F28">
        <v>0.12729691108068927</v>
      </c>
      <c r="G28">
        <v>4.8037096869782192E-2</v>
      </c>
      <c r="H28">
        <v>6.1801309161645009E-2</v>
      </c>
      <c r="I28">
        <v>7.512408685137989E-2</v>
      </c>
      <c r="J28">
        <v>0.16377648314490356</v>
      </c>
      <c r="K28">
        <v>2.1066281500548317E-2</v>
      </c>
      <c r="L28">
        <f>SUMPRODUCT(B28:K28, 'efficient portfolio'!$B$5:$K$5)</f>
        <v>1.0763298305662142E-2</v>
      </c>
      <c r="M28" cm="1">
        <f t="array" ref="M28">SQRT(MMULT(MMULT(B28:K28, covar!$B$2:$K$11), TRANSPOSE(B28:K28)))</f>
        <v>3.5934393479545711E-2</v>
      </c>
    </row>
    <row r="29" spans="1:13" x14ac:dyDescent="0.25">
      <c r="A29" t="s">
        <v>1242</v>
      </c>
      <c r="B29">
        <v>0.1356269423935739</v>
      </c>
      <c r="C29">
        <v>7.3032565426447829E-2</v>
      </c>
      <c r="D29">
        <v>2.1927087702456306E-2</v>
      </c>
      <c r="E29">
        <v>3.8927972891594199E-2</v>
      </c>
      <c r="F29">
        <v>1.6311040627930005E-2</v>
      </c>
      <c r="G29">
        <v>9.0864200077099097E-2</v>
      </c>
      <c r="H29">
        <v>0.20141297366570138</v>
      </c>
      <c r="I29">
        <v>0.11380698196233308</v>
      </c>
      <c r="J29">
        <v>0.10380163273224714</v>
      </c>
      <c r="K29">
        <v>0.20428860252061709</v>
      </c>
      <c r="L29">
        <f>SUMPRODUCT(B29:K29, 'efficient portfolio'!$B$5:$K$5)</f>
        <v>9.6210899177015426E-3</v>
      </c>
      <c r="M29" cm="1">
        <f t="array" ref="M29">SQRT(MMULT(MMULT(B29:K29, covar!$B$2:$K$11), TRANSPOSE(B29:K29)))</f>
        <v>2.7943849590493924E-2</v>
      </c>
    </row>
    <row r="30" spans="1:13" x14ac:dyDescent="0.25">
      <c r="A30" t="s">
        <v>1243</v>
      </c>
      <c r="B30">
        <v>4.4763500135445396E-2</v>
      </c>
      <c r="C30">
        <v>7.7892502207595207E-2</v>
      </c>
      <c r="D30">
        <v>8.1356236633625539E-2</v>
      </c>
      <c r="E30">
        <v>5.7856236676501568E-2</v>
      </c>
      <c r="F30">
        <v>0.10345579500923188</v>
      </c>
      <c r="G30">
        <v>2.8513078311817586E-2</v>
      </c>
      <c r="H30">
        <v>0.10630945244717485</v>
      </c>
      <c r="I30">
        <v>0.19840736107542703</v>
      </c>
      <c r="J30">
        <v>0.1145808767661757</v>
      </c>
      <c r="K30">
        <v>0.18686496073700523</v>
      </c>
      <c r="L30">
        <f>SUMPRODUCT(B30:K30, 'efficient portfolio'!$B$5:$K$5)</f>
        <v>9.7471433458033892E-3</v>
      </c>
      <c r="M30" cm="1">
        <f t="array" ref="M30">SQRT(MMULT(MMULT(B30:K30, covar!$B$2:$K$11), TRANSPOSE(B30:K30)))</f>
        <v>3.0606832166754611E-2</v>
      </c>
    </row>
    <row r="31" spans="1:13" x14ac:dyDescent="0.25">
      <c r="A31" t="s">
        <v>1244</v>
      </c>
      <c r="B31">
        <v>0.14557652025380133</v>
      </c>
      <c r="C31">
        <v>9.7703020377998259E-2</v>
      </c>
      <c r="D31">
        <v>0.15349219757521934</v>
      </c>
      <c r="E31">
        <v>1.4284223413459434E-2</v>
      </c>
      <c r="F31">
        <v>0.16746786606852357</v>
      </c>
      <c r="G31">
        <v>0.15515776309300564</v>
      </c>
      <c r="H31">
        <v>0.11009684983407515</v>
      </c>
      <c r="I31">
        <v>3.4427637026035941E-2</v>
      </c>
      <c r="J31">
        <v>4.9555897822273182E-2</v>
      </c>
      <c r="K31">
        <v>7.2238024535608139E-2</v>
      </c>
      <c r="L31">
        <f>SUMPRODUCT(B31:K31, 'efficient portfolio'!$B$5:$K$5)</f>
        <v>8.0270842437085346E-3</v>
      </c>
      <c r="M31" cm="1">
        <f t="array" ref="M31">SQRT(MMULT(MMULT(B31:K31, covar!$B$2:$K$11), TRANSPOSE(B31:K31)))</f>
        <v>3.2754649736485418E-2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31B1A-3BC7-489A-BC20-32B961B99059}">
  <sheetPr codeName="Sheet13">
    <tabColor rgb="FFFFC000"/>
  </sheetPr>
  <dimension ref="A2:N54"/>
  <sheetViews>
    <sheetView topLeftCell="A50" zoomScale="52" zoomScaleNormal="100" workbookViewId="0">
      <selection activeCell="Y71" sqref="Y71"/>
    </sheetView>
  </sheetViews>
  <sheetFormatPr defaultRowHeight="15" x14ac:dyDescent="0.25"/>
  <cols>
    <col min="1" max="1" width="15" bestFit="1" customWidth="1"/>
    <col min="2" max="2" width="14.140625" bestFit="1" customWidth="1"/>
    <col min="3" max="3" width="15.7109375" bestFit="1" customWidth="1"/>
    <col min="4" max="4" width="9.5703125" bestFit="1" customWidth="1"/>
    <col min="5" max="5" width="15" bestFit="1" customWidth="1"/>
    <col min="6" max="6" width="15.7109375" bestFit="1" customWidth="1"/>
    <col min="7" max="8" width="15" bestFit="1" customWidth="1"/>
    <col min="9" max="10" width="13.140625" bestFit="1" customWidth="1"/>
    <col min="11" max="11" width="13.42578125" bestFit="1" customWidth="1"/>
    <col min="12" max="12" width="9.5703125" bestFit="1" customWidth="1"/>
    <col min="13" max="14" width="9.28515625" bestFit="1" customWidth="1"/>
  </cols>
  <sheetData>
    <row r="2" spans="1:14" x14ac:dyDescent="0.25">
      <c r="B2" s="22"/>
      <c r="C2" s="22" t="s">
        <v>1</v>
      </c>
      <c r="D2" s="22" t="s">
        <v>777</v>
      </c>
      <c r="E2" s="22" t="s">
        <v>5</v>
      </c>
      <c r="F2" s="22" t="s">
        <v>1167</v>
      </c>
      <c r="G2" s="22" t="s">
        <v>1168</v>
      </c>
      <c r="H2" s="22" t="s">
        <v>26</v>
      </c>
      <c r="I2" s="22" t="s">
        <v>30</v>
      </c>
      <c r="J2" s="22" t="s">
        <v>674</v>
      </c>
      <c r="K2" s="22" t="s">
        <v>1169</v>
      </c>
      <c r="L2" s="22" t="s">
        <v>1170</v>
      </c>
      <c r="N2" s="22" t="s">
        <v>11</v>
      </c>
    </row>
    <row r="3" spans="1:14" x14ac:dyDescent="0.25">
      <c r="B3" s="22" t="s">
        <v>1</v>
      </c>
      <c r="C3">
        <f>VARP(Returns!$B$21:$B$32)</f>
        <v>3.5189894389375956E-3</v>
      </c>
      <c r="D3">
        <v>2.6625375124260421E-3</v>
      </c>
      <c r="E3">
        <v>1.418830952216465E-3</v>
      </c>
      <c r="F3">
        <v>-2.1791875941661086E-4</v>
      </c>
      <c r="G3">
        <v>1.3400349565280498E-3</v>
      </c>
      <c r="H3">
        <v>1.2374926694664627E-3</v>
      </c>
      <c r="I3">
        <v>-5.6543808216701949E-5</v>
      </c>
      <c r="J3">
        <v>1.2396120044392547E-4</v>
      </c>
      <c r="K3">
        <v>1.172327232302963E-3</v>
      </c>
      <c r="L3">
        <v>1.9189213620237388E-4</v>
      </c>
      <c r="N3" s="41">
        <v>0</v>
      </c>
    </row>
    <row r="4" spans="1:14" x14ac:dyDescent="0.25">
      <c r="B4" s="22" t="s">
        <v>777</v>
      </c>
      <c r="C4">
        <v>2.6625375124260421E-3</v>
      </c>
      <c r="D4">
        <f>VARP(Returns!$C$21:$C$32)</f>
        <v>3.4387913958762823E-3</v>
      </c>
      <c r="E4">
        <v>7.8347653049272773E-4</v>
      </c>
      <c r="F4">
        <v>-2.2376729656554523E-3</v>
      </c>
      <c r="G4">
        <v>1.2704455549629892E-3</v>
      </c>
      <c r="H4">
        <v>9.0558903306706953E-4</v>
      </c>
      <c r="I4">
        <v>-5.2911802396480602E-4</v>
      </c>
      <c r="J4">
        <v>-9.5447939775653229E-4</v>
      </c>
      <c r="K4">
        <v>1.879846215090392E-3</v>
      </c>
      <c r="L4">
        <v>4.7990680217842367E-4</v>
      </c>
      <c r="N4" s="41">
        <v>2.0406422521325407E-2</v>
      </c>
    </row>
    <row r="5" spans="1:14" x14ac:dyDescent="0.25">
      <c r="B5" s="22" t="s">
        <v>5</v>
      </c>
      <c r="C5">
        <v>1.418830952216465E-3</v>
      </c>
      <c r="D5">
        <v>7.8347653049272773E-4</v>
      </c>
      <c r="E5">
        <f>VARP(Returns!$D$21:$D$32)</f>
        <v>2.117907449540414E-3</v>
      </c>
      <c r="F5">
        <v>1.9345477660734063E-3</v>
      </c>
      <c r="G5">
        <v>1.4081871381204441E-3</v>
      </c>
      <c r="H5">
        <v>1.2722429872818609E-3</v>
      </c>
      <c r="I5">
        <v>7.1527710792369272E-4</v>
      </c>
      <c r="J5">
        <v>1.8705417628709711E-3</v>
      </c>
      <c r="K5">
        <v>8.8643347546576653E-4</v>
      </c>
      <c r="L5">
        <v>4.1988041557153907E-4</v>
      </c>
      <c r="N5" s="41">
        <v>0</v>
      </c>
    </row>
    <row r="6" spans="1:14" x14ac:dyDescent="0.25">
      <c r="B6" s="22" t="s">
        <v>1167</v>
      </c>
      <c r="C6">
        <v>-2.1791875941661086E-4</v>
      </c>
      <c r="D6">
        <v>-2.2376729656554523E-3</v>
      </c>
      <c r="E6">
        <v>1.9345477660734063E-3</v>
      </c>
      <c r="F6">
        <f>VARP(Returns!$E$21:$E$32)</f>
        <v>7.9407285569503064E-3</v>
      </c>
      <c r="G6">
        <v>7.3316767462152082E-4</v>
      </c>
      <c r="H6">
        <v>3.9755741443023193E-4</v>
      </c>
      <c r="I6">
        <v>2.4754861012790392E-4</v>
      </c>
      <c r="J6">
        <v>4.7885748233146641E-3</v>
      </c>
      <c r="K6">
        <v>1.6243028900145117E-3</v>
      </c>
      <c r="L6">
        <v>-2.3474910896539763E-4</v>
      </c>
      <c r="N6" s="41">
        <v>0</v>
      </c>
    </row>
    <row r="7" spans="1:14" x14ac:dyDescent="0.25">
      <c r="B7" s="22" t="s">
        <v>1168</v>
      </c>
      <c r="C7">
        <v>1.3400349565280498E-3</v>
      </c>
      <c r="D7">
        <v>1.2704455549629892E-3</v>
      </c>
      <c r="E7">
        <v>1.4081871381204441E-3</v>
      </c>
      <c r="F7">
        <v>7.3316767462152082E-4</v>
      </c>
      <c r="G7">
        <f>VARP(Returns!$F$21:$F$32)</f>
        <v>1.6226789202651599E-3</v>
      </c>
      <c r="H7">
        <v>1.2226868459314778E-3</v>
      </c>
      <c r="I7">
        <v>3.5858154737206322E-4</v>
      </c>
      <c r="J7">
        <v>8.9410706396835752E-4</v>
      </c>
      <c r="K7">
        <v>1.6121102092967663E-3</v>
      </c>
      <c r="L7">
        <v>6.5557185413280331E-4</v>
      </c>
      <c r="N7" s="41">
        <v>0</v>
      </c>
    </row>
    <row r="8" spans="1:14" x14ac:dyDescent="0.25">
      <c r="B8" s="22" t="s">
        <v>26</v>
      </c>
      <c r="C8">
        <v>1.2374926694664627E-3</v>
      </c>
      <c r="D8">
        <v>9.0558903306706953E-4</v>
      </c>
      <c r="E8">
        <v>1.2722429872818609E-3</v>
      </c>
      <c r="F8">
        <v>3.9755741443023193E-4</v>
      </c>
      <c r="G8">
        <v>1.2226868459314778E-3</v>
      </c>
      <c r="H8">
        <f>VARP(Returns!$G$21:$G$32)</f>
        <v>1.3748184964328689E-3</v>
      </c>
      <c r="I8">
        <v>4.1391403811443683E-4</v>
      </c>
      <c r="J8">
        <v>1.0287869260532869E-3</v>
      </c>
      <c r="K8">
        <v>3.4532042229993773E-4</v>
      </c>
      <c r="L8">
        <v>4.3190637702670643E-4</v>
      </c>
      <c r="N8" s="41">
        <v>0</v>
      </c>
    </row>
    <row r="9" spans="1:14" x14ac:dyDescent="0.25">
      <c r="B9" s="22" t="s">
        <v>30</v>
      </c>
      <c r="C9">
        <v>-5.6543808216701949E-5</v>
      </c>
      <c r="D9">
        <v>-5.2911802396480602E-4</v>
      </c>
      <c r="E9">
        <v>7.1527710792369272E-4</v>
      </c>
      <c r="F9">
        <v>2.4754861012790392E-4</v>
      </c>
      <c r="G9">
        <v>3.5858154737206322E-4</v>
      </c>
      <c r="H9">
        <v>4.1391403811443683E-4</v>
      </c>
      <c r="I9">
        <f>VARP(Returns!$H$21:$H$32)</f>
        <v>2.2263831756264823E-3</v>
      </c>
      <c r="J9">
        <v>-4.0348033152698746E-4</v>
      </c>
      <c r="K9">
        <v>2.9622932487542746E-4</v>
      </c>
      <c r="L9">
        <v>8.5686742914496726E-4</v>
      </c>
      <c r="N9" s="41">
        <v>0</v>
      </c>
    </row>
    <row r="10" spans="1:14" x14ac:dyDescent="0.25">
      <c r="B10" s="22" t="s">
        <v>674</v>
      </c>
      <c r="C10">
        <v>1.2396120044392547E-4</v>
      </c>
      <c r="D10">
        <v>-9.5447939775653229E-4</v>
      </c>
      <c r="E10">
        <v>1.8705417628709711E-3</v>
      </c>
      <c r="F10">
        <v>4.7885748233146641E-3</v>
      </c>
      <c r="G10">
        <v>8.9410706396835752E-4</v>
      </c>
      <c r="H10">
        <v>1.0287869260532869E-3</v>
      </c>
      <c r="I10">
        <v>-4.0348033152698746E-4</v>
      </c>
      <c r="J10">
        <f>VARP(Returns!$I$21:$I$32)</f>
        <v>4.3611350585936832E-3</v>
      </c>
      <c r="K10">
        <v>-1.5079534470136913E-5</v>
      </c>
      <c r="L10">
        <v>-6.747753994030553E-4</v>
      </c>
      <c r="N10" s="41">
        <v>6.0122340816161244E-3</v>
      </c>
    </row>
    <row r="11" spans="1:14" x14ac:dyDescent="0.25">
      <c r="B11" s="22" t="s">
        <v>1169</v>
      </c>
      <c r="C11">
        <v>1.172327232302963E-3</v>
      </c>
      <c r="D11">
        <v>1.879846215090392E-3</v>
      </c>
      <c r="E11">
        <v>8.8643347546576653E-4</v>
      </c>
      <c r="F11">
        <v>1.6243028900145117E-3</v>
      </c>
      <c r="G11">
        <v>1.6121102092967663E-3</v>
      </c>
      <c r="H11">
        <v>3.4532042229993773E-4</v>
      </c>
      <c r="I11">
        <v>2.9622932487542746E-4</v>
      </c>
      <c r="J11">
        <v>-1.5079534470136913E-5</v>
      </c>
      <c r="K11">
        <f>VARP(Returns!$J$21:$J$32)</f>
        <v>5.4414744257373238E-3</v>
      </c>
      <c r="L11">
        <f>K12</f>
        <v>1.0367506491163814E-3</v>
      </c>
      <c r="N11" s="41">
        <v>0</v>
      </c>
    </row>
    <row r="12" spans="1:14" ht="15.75" thickBot="1" x14ac:dyDescent="0.3">
      <c r="B12" s="22" t="s">
        <v>1170</v>
      </c>
      <c r="C12" s="33">
        <v>1.9189213620237388E-4</v>
      </c>
      <c r="D12" s="33">
        <v>4.7990680217842367E-4</v>
      </c>
      <c r="E12" s="33">
        <v>4.1988041557153907E-4</v>
      </c>
      <c r="F12" s="33">
        <v>-2.3474910896539763E-4</v>
      </c>
      <c r="G12" s="33">
        <v>6.5557185413280331E-4</v>
      </c>
      <c r="H12" s="33">
        <v>4.3190637702670643E-4</v>
      </c>
      <c r="I12" s="33">
        <v>8.5686742914496726E-4</v>
      </c>
      <c r="J12" s="33">
        <v>-6.747753994030553E-4</v>
      </c>
      <c r="K12" s="33">
        <v>1.0367506491163814E-3</v>
      </c>
      <c r="L12" s="33">
        <f>VARP(Returns!$K$21:$K$32)</f>
        <v>1.5474704559558241E-3</v>
      </c>
      <c r="N12" s="41">
        <v>2.8923627175527953E-3</v>
      </c>
    </row>
    <row r="15" spans="1:14" x14ac:dyDescent="0.25">
      <c r="A15" s="22" t="s">
        <v>1248</v>
      </c>
      <c r="B15">
        <v>3.5000000000000003E-2</v>
      </c>
    </row>
    <row r="16" spans="1:14" x14ac:dyDescent="0.25">
      <c r="A16" s="22" t="s">
        <v>1249</v>
      </c>
      <c r="B16">
        <v>0.20960397007803069</v>
      </c>
    </row>
    <row r="17" spans="1:2" x14ac:dyDescent="0.25">
      <c r="A17" s="22" t="s">
        <v>1250</v>
      </c>
      <c r="B17">
        <v>0.79039604663956331</v>
      </c>
    </row>
    <row r="18" spans="1:2" x14ac:dyDescent="0.25">
      <c r="A18" s="22" t="s">
        <v>1251</v>
      </c>
      <c r="B18">
        <v>0</v>
      </c>
    </row>
    <row r="19" spans="1:2" x14ac:dyDescent="0.25">
      <c r="A19" s="22" t="s">
        <v>1252</v>
      </c>
      <c r="B19">
        <v>0</v>
      </c>
    </row>
    <row r="20" spans="1:2" x14ac:dyDescent="0.25">
      <c r="A20" s="22" t="s">
        <v>1253</v>
      </c>
      <c r="B20">
        <v>0</v>
      </c>
    </row>
    <row r="21" spans="1:2" x14ac:dyDescent="0.25">
      <c r="A21" s="22" t="s">
        <v>1254</v>
      </c>
      <c r="B21">
        <v>0</v>
      </c>
    </row>
    <row r="22" spans="1:2" x14ac:dyDescent="0.25">
      <c r="A22" s="22" t="s">
        <v>1255</v>
      </c>
      <c r="B22">
        <v>0</v>
      </c>
    </row>
    <row r="23" spans="1:2" x14ac:dyDescent="0.25">
      <c r="A23" s="22" t="s">
        <v>1256</v>
      </c>
      <c r="B23">
        <v>0</v>
      </c>
    </row>
    <row r="24" spans="1:2" x14ac:dyDescent="0.25">
      <c r="A24" s="22" t="s">
        <v>1257</v>
      </c>
      <c r="B24">
        <v>0</v>
      </c>
    </row>
    <row r="25" spans="1:2" x14ac:dyDescent="0.25">
      <c r="A25" s="22" t="s">
        <v>1258</v>
      </c>
      <c r="B25">
        <v>0</v>
      </c>
    </row>
    <row r="26" spans="1:2" x14ac:dyDescent="0.25">
      <c r="A26" s="22" t="s">
        <v>1259</v>
      </c>
      <c r="B26">
        <f>SUM(B16:B25)</f>
        <v>1.000000016717594</v>
      </c>
    </row>
    <row r="27" spans="1:2" x14ac:dyDescent="0.25">
      <c r="A27" s="22" t="s">
        <v>1260</v>
      </c>
      <c r="B27" cm="1">
        <f t="array" ref="B27">MMULT(TRANSPOSE(B16:B25), N3:N12)</f>
        <v>1.6129155686912151E-2</v>
      </c>
    </row>
    <row r="28" spans="1:2" x14ac:dyDescent="0.25">
      <c r="A28" s="22" t="s">
        <v>1261</v>
      </c>
      <c r="B28" s="42" cm="1">
        <f t="array" ref="B28">SQRT(MMULT(TRANSPOSE(B16:B25), MMULT(C3:L12, B16:B25)))</f>
        <v>5.6436785202888765E-2</v>
      </c>
    </row>
    <row r="29" spans="1:2" x14ac:dyDescent="0.25">
      <c r="A29" s="22" t="s">
        <v>1262</v>
      </c>
      <c r="B29" s="42">
        <f>(B27-B15)/B28</f>
        <v>-0.33437135452077332</v>
      </c>
    </row>
    <row r="34" spans="2:14" x14ac:dyDescent="0.25">
      <c r="B34" s="22" t="s">
        <v>1263</v>
      </c>
      <c r="C34" s="22" t="s">
        <v>1264</v>
      </c>
      <c r="D34" s="22" t="s">
        <v>1208</v>
      </c>
      <c r="E34" s="22" t="s">
        <v>1249</v>
      </c>
      <c r="F34" s="22" t="s">
        <v>1250</v>
      </c>
      <c r="G34" s="22" t="s">
        <v>1251</v>
      </c>
      <c r="H34" s="22" t="s">
        <v>1252</v>
      </c>
      <c r="I34" s="22" t="s">
        <v>1253</v>
      </c>
      <c r="J34" s="22" t="s">
        <v>1254</v>
      </c>
      <c r="K34" s="22" t="s">
        <v>1255</v>
      </c>
      <c r="L34" s="22" t="s">
        <v>1256</v>
      </c>
      <c r="M34" s="22" t="s">
        <v>1257</v>
      </c>
      <c r="N34" s="22" t="s">
        <v>1258</v>
      </c>
    </row>
    <row r="35" spans="2:14" x14ac:dyDescent="0.25">
      <c r="B35" s="43">
        <v>-3.0000000000000001E-3</v>
      </c>
      <c r="C35" s="43">
        <v>2.8574991190189653E-2</v>
      </c>
      <c r="D35" s="43">
        <v>1.1445656792523694E-2</v>
      </c>
      <c r="E35" s="43">
        <v>0</v>
      </c>
      <c r="F35" s="43">
        <v>0.47923579057169607</v>
      </c>
      <c r="G35" s="43">
        <v>0</v>
      </c>
      <c r="H35" s="43">
        <v>9.4235396782986567E-4</v>
      </c>
      <c r="I35" s="43">
        <v>0</v>
      </c>
      <c r="J35" s="43">
        <v>0</v>
      </c>
      <c r="K35" s="43">
        <v>0.21289726771141873</v>
      </c>
      <c r="L35" s="43">
        <v>0.24950755389710028</v>
      </c>
      <c r="M35" s="43">
        <v>0</v>
      </c>
      <c r="N35" s="43">
        <v>5.7417053057558141E-2</v>
      </c>
    </row>
    <row r="36" spans="2:14" x14ac:dyDescent="0.25">
      <c r="B36" s="43">
        <v>-1E-3</v>
      </c>
      <c r="C36" s="43">
        <v>3.0886631740865117E-2</v>
      </c>
      <c r="D36" s="43">
        <v>1.2527616528635065E-2</v>
      </c>
      <c r="E36" s="43">
        <v>0</v>
      </c>
      <c r="F36" s="43">
        <v>0.53909649196099974</v>
      </c>
      <c r="G36" s="43">
        <v>0</v>
      </c>
      <c r="H36" s="43">
        <v>9.4356445777258962E-4</v>
      </c>
      <c r="I36" s="43">
        <v>0</v>
      </c>
      <c r="J36" s="43">
        <v>0</v>
      </c>
      <c r="K36" s="43">
        <v>0.20209837462932084</v>
      </c>
      <c r="L36" s="43">
        <v>0.25025277925626566</v>
      </c>
      <c r="M36" s="43">
        <v>0</v>
      </c>
      <c r="N36" s="43">
        <v>7.6088124485095806E-3</v>
      </c>
    </row>
    <row r="37" spans="2:14" x14ac:dyDescent="0.25">
      <c r="B37" s="43">
        <v>1E-3</v>
      </c>
      <c r="C37" s="43">
        <v>3.4027659646030085E-2</v>
      </c>
      <c r="D37" s="43">
        <v>1.3797691139339935E-2</v>
      </c>
      <c r="E37" s="43">
        <v>0</v>
      </c>
      <c r="F37" s="43">
        <v>0.60290065276858595</v>
      </c>
      <c r="G37" s="43">
        <v>0</v>
      </c>
      <c r="H37" s="43">
        <v>9.4445066005491025E-4</v>
      </c>
      <c r="I37" s="43">
        <v>0</v>
      </c>
      <c r="J37" s="43">
        <v>0</v>
      </c>
      <c r="K37" s="43">
        <v>0.14755420670340005</v>
      </c>
      <c r="L37" s="43">
        <v>0.24860071319104463</v>
      </c>
      <c r="M37" s="43">
        <v>0</v>
      </c>
      <c r="N37" s="43">
        <v>0</v>
      </c>
    </row>
    <row r="38" spans="2:14" x14ac:dyDescent="0.25">
      <c r="B38" s="43">
        <v>3.0000000000000001E-3</v>
      </c>
      <c r="C38" s="43">
        <v>4.0306776603247232E-2</v>
      </c>
      <c r="D38" s="43">
        <v>1.5960260510850855E-2</v>
      </c>
      <c r="E38" s="43">
        <v>0</v>
      </c>
      <c r="F38" s="43">
        <v>0.70993417084458255</v>
      </c>
      <c r="G38" s="43">
        <v>0</v>
      </c>
      <c r="H38" s="43">
        <v>9.4326893925305438E-4</v>
      </c>
      <c r="I38" s="43">
        <v>0</v>
      </c>
      <c r="J38" s="43">
        <v>0</v>
      </c>
      <c r="K38" s="43">
        <v>4.4114850906756098E-2</v>
      </c>
      <c r="L38" s="43">
        <v>0.24500773560591679</v>
      </c>
      <c r="M38" s="43">
        <v>0</v>
      </c>
      <c r="N38" s="43">
        <v>0</v>
      </c>
    </row>
    <row r="39" spans="2:14" x14ac:dyDescent="0.25">
      <c r="B39" s="43">
        <v>5.0000000000000001E-3</v>
      </c>
      <c r="C39" s="43">
        <v>4.4917077330572118E-2</v>
      </c>
      <c r="D39" s="43">
        <v>1.7370335448288213E-2</v>
      </c>
      <c r="E39" s="43">
        <v>0</v>
      </c>
      <c r="F39" s="43">
        <v>0.78946491637556537</v>
      </c>
      <c r="G39" s="43">
        <v>0</v>
      </c>
      <c r="H39" s="43">
        <v>9.3235696696302513E-4</v>
      </c>
      <c r="I39" s="43">
        <v>0</v>
      </c>
      <c r="J39" s="43">
        <v>0</v>
      </c>
      <c r="K39" s="43">
        <v>0</v>
      </c>
      <c r="L39" s="43">
        <v>0.20960275030190659</v>
      </c>
      <c r="M39" s="43">
        <v>0</v>
      </c>
      <c r="N39" s="43">
        <v>0</v>
      </c>
    </row>
    <row r="40" spans="2:14" x14ac:dyDescent="0.25">
      <c r="B40" s="43">
        <v>7.0000000000000001E-3</v>
      </c>
      <c r="C40" s="43">
        <v>4.4917077330572118E-2</v>
      </c>
      <c r="D40" s="43">
        <v>1.7370335448288213E-2</v>
      </c>
      <c r="E40" s="43">
        <v>0</v>
      </c>
      <c r="F40" s="43">
        <v>0.78946491637556537</v>
      </c>
      <c r="G40" s="43">
        <v>0</v>
      </c>
      <c r="H40" s="43">
        <v>9.3235696696302513E-4</v>
      </c>
      <c r="I40" s="43">
        <v>0</v>
      </c>
      <c r="J40" s="43">
        <v>0</v>
      </c>
      <c r="K40" s="43">
        <v>0</v>
      </c>
      <c r="L40" s="43">
        <v>0.20960275030190659</v>
      </c>
      <c r="M40" s="43">
        <v>0</v>
      </c>
      <c r="N40" s="43">
        <v>0</v>
      </c>
    </row>
    <row r="41" spans="2:14" x14ac:dyDescent="0.25">
      <c r="B41" s="43">
        <v>9.0000000000000011E-3</v>
      </c>
      <c r="C41" s="43">
        <v>4.4917077330572118E-2</v>
      </c>
      <c r="D41" s="43">
        <v>1.7370335448288213E-2</v>
      </c>
      <c r="E41" s="43">
        <v>0</v>
      </c>
      <c r="F41" s="43">
        <v>0.78946491637556537</v>
      </c>
      <c r="G41" s="43">
        <v>0</v>
      </c>
      <c r="H41" s="43">
        <v>9.3235696696302513E-4</v>
      </c>
      <c r="I41" s="43">
        <v>0</v>
      </c>
      <c r="J41" s="43">
        <v>0</v>
      </c>
      <c r="K41" s="43">
        <v>0</v>
      </c>
      <c r="L41" s="43">
        <v>0.20960275030190659</v>
      </c>
      <c r="M41" s="43">
        <v>0</v>
      </c>
      <c r="N41" s="43">
        <v>0</v>
      </c>
    </row>
    <row r="42" spans="2:14" x14ac:dyDescent="0.25">
      <c r="B42" s="43">
        <v>1.0999999999999999E-2</v>
      </c>
      <c r="C42" s="43">
        <v>4.4917077330572118E-2</v>
      </c>
      <c r="D42" s="43">
        <v>1.7370335448288213E-2</v>
      </c>
      <c r="E42" s="43">
        <v>0</v>
      </c>
      <c r="F42" s="43">
        <v>0.78946491637556537</v>
      </c>
      <c r="G42" s="43">
        <v>0</v>
      </c>
      <c r="H42" s="43">
        <v>9.3235696696302513E-4</v>
      </c>
      <c r="I42" s="43">
        <v>0</v>
      </c>
      <c r="J42" s="43">
        <v>0</v>
      </c>
      <c r="K42" s="43">
        <v>0</v>
      </c>
      <c r="L42" s="43">
        <v>0.20960275030190659</v>
      </c>
      <c r="M42" s="43">
        <v>0</v>
      </c>
      <c r="N42" s="43">
        <v>0</v>
      </c>
    </row>
    <row r="43" spans="2:14" x14ac:dyDescent="0.25">
      <c r="B43" s="43">
        <v>1.3000000000000001E-2</v>
      </c>
      <c r="C43" s="43">
        <v>4.4917077330572118E-2</v>
      </c>
      <c r="D43" s="43">
        <v>1.7370335448288213E-2</v>
      </c>
      <c r="E43" s="43">
        <v>0</v>
      </c>
      <c r="F43" s="43">
        <v>0.78946491637556537</v>
      </c>
      <c r="G43" s="43">
        <v>0</v>
      </c>
      <c r="H43" s="43">
        <v>9.3235696696302513E-4</v>
      </c>
      <c r="I43" s="43">
        <v>0</v>
      </c>
      <c r="J43" s="43">
        <v>0</v>
      </c>
      <c r="K43" s="43">
        <v>0</v>
      </c>
      <c r="L43" s="43">
        <v>0.20960275030190659</v>
      </c>
      <c r="M43" s="43">
        <v>0</v>
      </c>
      <c r="N43" s="43">
        <v>0</v>
      </c>
    </row>
    <row r="44" spans="2:14" x14ac:dyDescent="0.25">
      <c r="B44" s="43">
        <v>1.4999999999999999E-2</v>
      </c>
      <c r="C44" s="43">
        <v>4.4917077330572118E-2</v>
      </c>
      <c r="D44" s="43">
        <v>1.7370335448288213E-2</v>
      </c>
      <c r="E44" s="43">
        <v>0</v>
      </c>
      <c r="F44" s="43">
        <v>0.78946491637556537</v>
      </c>
      <c r="G44" s="43">
        <v>0</v>
      </c>
      <c r="H44" s="43">
        <v>9.3235696696302513E-4</v>
      </c>
      <c r="I44" s="43">
        <v>0</v>
      </c>
      <c r="J44" s="43">
        <v>0</v>
      </c>
      <c r="K44" s="43">
        <v>0</v>
      </c>
      <c r="L44" s="43">
        <v>0.20960275030190659</v>
      </c>
      <c r="M44" s="43">
        <v>0</v>
      </c>
      <c r="N44" s="43">
        <v>0</v>
      </c>
    </row>
    <row r="45" spans="2:14" x14ac:dyDescent="0.25">
      <c r="B45" s="43">
        <v>1.7000000000000001E-2</v>
      </c>
      <c r="C45" s="43">
        <v>4.4917077330572118E-2</v>
      </c>
      <c r="D45" s="43">
        <v>1.7370335448288213E-2</v>
      </c>
      <c r="E45" s="43">
        <v>0</v>
      </c>
      <c r="F45" s="43">
        <v>0.78946491637556537</v>
      </c>
      <c r="G45" s="43">
        <v>0</v>
      </c>
      <c r="H45" s="43">
        <v>9.3235696696302513E-4</v>
      </c>
      <c r="I45" s="43">
        <v>0</v>
      </c>
      <c r="J45" s="43">
        <v>0</v>
      </c>
      <c r="K45" s="43">
        <v>0</v>
      </c>
      <c r="L45" s="43">
        <v>0.20960275030190659</v>
      </c>
      <c r="M45" s="43">
        <v>0</v>
      </c>
      <c r="N45" s="43">
        <v>0</v>
      </c>
    </row>
    <row r="46" spans="2:14" x14ac:dyDescent="0.25">
      <c r="B46" s="43">
        <v>1.9E-2</v>
      </c>
      <c r="C46" s="43">
        <v>4.4917077330572118E-2</v>
      </c>
      <c r="D46" s="43">
        <v>1.7370335448288213E-2</v>
      </c>
      <c r="E46" s="43">
        <v>0</v>
      </c>
      <c r="F46" s="43">
        <v>0.78946491637556537</v>
      </c>
      <c r="G46" s="43">
        <v>0</v>
      </c>
      <c r="H46" s="43">
        <v>9.3235696696302513E-4</v>
      </c>
      <c r="I46" s="43">
        <v>0</v>
      </c>
      <c r="J46" s="43">
        <v>0</v>
      </c>
      <c r="K46" s="43">
        <v>0</v>
      </c>
      <c r="L46" s="43">
        <v>0.20960275030190659</v>
      </c>
      <c r="M46" s="43">
        <v>0</v>
      </c>
      <c r="N46" s="43">
        <v>0</v>
      </c>
    </row>
    <row r="47" spans="2:14" x14ac:dyDescent="0.25">
      <c r="B47" s="43">
        <v>2.1000000000000001E-2</v>
      </c>
      <c r="C47" s="43">
        <v>4.4917077330572118E-2</v>
      </c>
      <c r="D47" s="43">
        <v>1.7370335448288213E-2</v>
      </c>
      <c r="E47" s="43">
        <v>0</v>
      </c>
      <c r="F47" s="43">
        <v>0.78946491637556537</v>
      </c>
      <c r="G47" s="43">
        <v>0</v>
      </c>
      <c r="H47" s="43">
        <v>9.3235696696302513E-4</v>
      </c>
      <c r="I47" s="43">
        <v>0</v>
      </c>
      <c r="J47" s="43">
        <v>0</v>
      </c>
      <c r="K47" s="43">
        <v>0</v>
      </c>
      <c r="L47" s="43">
        <v>0.20960275030190659</v>
      </c>
      <c r="M47" s="43">
        <v>0</v>
      </c>
      <c r="N47" s="43">
        <v>0</v>
      </c>
    </row>
    <row r="48" spans="2:14" x14ac:dyDescent="0.25">
      <c r="B48" s="43">
        <v>2.3E-2</v>
      </c>
      <c r="C48" s="43">
        <v>4.4917077330572118E-2</v>
      </c>
      <c r="D48" s="43">
        <v>1.7370335448288213E-2</v>
      </c>
      <c r="E48" s="43">
        <v>0</v>
      </c>
      <c r="F48" s="43">
        <v>0.78946491637556537</v>
      </c>
      <c r="G48" s="43">
        <v>0</v>
      </c>
      <c r="H48" s="43">
        <v>9.3235696696302513E-4</v>
      </c>
      <c r="I48" s="43">
        <v>0</v>
      </c>
      <c r="J48" s="43">
        <v>0</v>
      </c>
      <c r="K48" s="43">
        <v>0</v>
      </c>
      <c r="L48" s="43">
        <v>0.20960275030190659</v>
      </c>
      <c r="M48" s="43">
        <v>0</v>
      </c>
      <c r="N48" s="43">
        <v>0</v>
      </c>
    </row>
    <row r="49" spans="2:14" x14ac:dyDescent="0.25">
      <c r="B49" s="43">
        <v>2.5000000000000001E-2</v>
      </c>
      <c r="C49" s="43">
        <v>5.6436785202888765E-2</v>
      </c>
      <c r="D49" s="43">
        <v>1.6129155686912151E-2</v>
      </c>
      <c r="E49" s="43">
        <v>0.20960397007803069</v>
      </c>
      <c r="F49" s="43">
        <v>0.79039604663956331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0</v>
      </c>
      <c r="N49" s="43">
        <v>0</v>
      </c>
    </row>
    <row r="50" spans="2:14" x14ac:dyDescent="0.25">
      <c r="B50" s="43">
        <v>2.7E-2</v>
      </c>
      <c r="C50" s="43">
        <v>5.6436785202888765E-2</v>
      </c>
      <c r="D50" s="43">
        <v>1.6129155686912151E-2</v>
      </c>
      <c r="E50" s="43">
        <v>0.20960397007803069</v>
      </c>
      <c r="F50" s="43">
        <v>0.79039604663956331</v>
      </c>
      <c r="G50" s="43">
        <v>0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0</v>
      </c>
      <c r="N50" s="43">
        <v>0</v>
      </c>
    </row>
    <row r="51" spans="2:14" x14ac:dyDescent="0.25">
      <c r="B51" s="43">
        <v>2.9000000000000001E-2</v>
      </c>
      <c r="C51" s="43">
        <v>5.6436785202888765E-2</v>
      </c>
      <c r="D51" s="43">
        <v>1.6129155686912151E-2</v>
      </c>
      <c r="E51" s="43">
        <v>0.20960397007803069</v>
      </c>
      <c r="F51" s="43">
        <v>0.79039604663956331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0</v>
      </c>
      <c r="N51" s="43">
        <v>0</v>
      </c>
    </row>
    <row r="52" spans="2:14" x14ac:dyDescent="0.25">
      <c r="B52" s="43">
        <v>3.1E-2</v>
      </c>
      <c r="C52" s="43">
        <v>5.6436785202888765E-2</v>
      </c>
      <c r="D52" s="43">
        <v>1.6129155686912151E-2</v>
      </c>
      <c r="E52" s="43">
        <v>0.20960397007803069</v>
      </c>
      <c r="F52" s="43">
        <v>0.79039604663956331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  <c r="N52" s="43">
        <v>0</v>
      </c>
    </row>
    <row r="53" spans="2:14" x14ac:dyDescent="0.25">
      <c r="B53" s="43">
        <v>3.3000000000000002E-2</v>
      </c>
      <c r="C53" s="43">
        <v>5.6436785202888765E-2</v>
      </c>
      <c r="D53" s="43">
        <v>1.6129155686912151E-2</v>
      </c>
      <c r="E53" s="43">
        <v>0.20960397007803069</v>
      </c>
      <c r="F53" s="43">
        <v>0.79039604663956331</v>
      </c>
      <c r="G53" s="43">
        <v>0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43">
        <v>0</v>
      </c>
      <c r="N53" s="43">
        <v>0</v>
      </c>
    </row>
    <row r="54" spans="2:14" x14ac:dyDescent="0.25">
      <c r="B54" s="43">
        <v>3.5000000000000003E-2</v>
      </c>
      <c r="C54" s="43">
        <v>5.6436785202888765E-2</v>
      </c>
      <c r="D54" s="43">
        <v>1.6129155686912151E-2</v>
      </c>
      <c r="E54" s="43">
        <v>0.20960397007803069</v>
      </c>
      <c r="F54" s="43">
        <v>0.79039604663956331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  <c r="N54" s="43">
        <v>0</v>
      </c>
    </row>
  </sheetData>
  <scenarios current="0">
    <scenario name="scene1" count="10" user="annie scar" comment="Created by annie scar on 4/2/2025">
      <inputCells r="B16" val="0"/>
      <inputCells r="B17" val="1"/>
      <inputCells r="B18" val="0"/>
      <inputCells r="B19" val="0"/>
      <inputCells r="B20" val="0"/>
      <inputCells r="B21" val="0"/>
      <inputCells r="B22" val="0"/>
      <inputCells r="B23" val="0"/>
      <inputCells r="B24" val="0"/>
      <inputCells r="B25" val="0"/>
    </scenario>
    <scenario name="scene2" count="10" user="annie scar" comment="Created by annie scar on 4/2/2025">
      <inputCells r="B16" val="0"/>
      <inputCells r="B17" val="0.479700628485361"/>
      <inputCells r="B18" val="0"/>
      <inputCells r="B19" val="0.00180818575159411"/>
      <inputCells r="B20" val="0"/>
      <inputCells r="B21" val="0"/>
      <inputCells r="B22" val="0.21300396814615"/>
      <inputCells r="B23" val="0.248366724961555"/>
      <inputCells r="B24" val="0"/>
      <inputCells r="B25" val="0.0571204926553398"/>
    </scenario>
  </scenarios>
  <phoneticPr fontId="3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10637-4437-4335-8B60-C2CE7DE2CDEF}">
  <sheetPr codeName="Sheet8">
    <tabColor rgb="FF92D050"/>
  </sheetPr>
  <dimension ref="A1:I18"/>
  <sheetViews>
    <sheetView zoomScale="98" workbookViewId="0">
      <selection activeCell="G19" sqref="G19"/>
    </sheetView>
  </sheetViews>
  <sheetFormatPr defaultRowHeight="15" x14ac:dyDescent="0.25"/>
  <cols>
    <col min="1" max="1" width="18" bestFit="1" customWidth="1"/>
    <col min="2" max="2" width="12.7109375" bestFit="1" customWidth="1"/>
    <col min="3" max="3" width="14.5703125" bestFit="1" customWidth="1"/>
    <col min="4" max="4" width="12.7109375" bestFit="1" customWidth="1"/>
    <col min="5" max="5" width="12" bestFit="1" customWidth="1"/>
    <col min="6" max="6" width="13.42578125" bestFit="1" customWidth="1"/>
    <col min="7" max="7" width="12" bestFit="1" customWidth="1"/>
    <col min="8" max="8" width="12.7109375" bestFit="1" customWidth="1"/>
    <col min="9" max="9" width="12.5703125" bestFit="1" customWidth="1"/>
  </cols>
  <sheetData>
    <row r="1" spans="1:9" x14ac:dyDescent="0.25">
      <c r="A1" t="s">
        <v>1173</v>
      </c>
    </row>
    <row r="2" spans="1:9" ht="15.75" thickBot="1" x14ac:dyDescent="0.3"/>
    <row r="3" spans="1:9" x14ac:dyDescent="0.25">
      <c r="A3" s="35" t="s">
        <v>1174</v>
      </c>
      <c r="B3" s="35"/>
    </row>
    <row r="4" spans="1:9" x14ac:dyDescent="0.25">
      <c r="A4" t="s">
        <v>1175</v>
      </c>
      <c r="B4">
        <v>0.3726746569557865</v>
      </c>
    </row>
    <row r="5" spans="1:9" x14ac:dyDescent="0.25">
      <c r="A5" t="s">
        <v>1176</v>
      </c>
      <c r="B5">
        <v>0.13888639993711313</v>
      </c>
    </row>
    <row r="6" spans="1:9" x14ac:dyDescent="0.25">
      <c r="A6" t="s">
        <v>1177</v>
      </c>
      <c r="B6">
        <v>3.1247199929252262E-2</v>
      </c>
    </row>
    <row r="7" spans="1:9" x14ac:dyDescent="0.25">
      <c r="A7" t="s">
        <v>1178</v>
      </c>
      <c r="B7">
        <v>1.1712958872650161E-2</v>
      </c>
    </row>
    <row r="8" spans="1:9" ht="15.75" thickBot="1" x14ac:dyDescent="0.3">
      <c r="A8" s="33" t="s">
        <v>1179</v>
      </c>
      <c r="B8" s="33">
        <v>10</v>
      </c>
    </row>
    <row r="10" spans="1:9" ht="15.75" thickBot="1" x14ac:dyDescent="0.3">
      <c r="A10" t="s">
        <v>1180</v>
      </c>
    </row>
    <row r="11" spans="1:9" x14ac:dyDescent="0.25">
      <c r="A11" s="34"/>
      <c r="B11" s="34" t="s">
        <v>1185</v>
      </c>
      <c r="C11" s="34" t="s">
        <v>1186</v>
      </c>
      <c r="D11" s="34" t="s">
        <v>1187</v>
      </c>
      <c r="E11" s="34" t="s">
        <v>1188</v>
      </c>
      <c r="F11" s="34" t="s">
        <v>1189</v>
      </c>
    </row>
    <row r="12" spans="1:9" x14ac:dyDescent="0.25">
      <c r="A12" t="s">
        <v>1181</v>
      </c>
      <c r="B12">
        <v>1</v>
      </c>
      <c r="C12">
        <v>1.7702006509610663E-4</v>
      </c>
      <c r="D12">
        <v>1.7702006509610663E-4</v>
      </c>
      <c r="E12">
        <v>1.2902957280151683</v>
      </c>
      <c r="F12">
        <v>0.28887482352045762</v>
      </c>
    </row>
    <row r="13" spans="1:9" x14ac:dyDescent="0.25">
      <c r="A13" t="s">
        <v>1182</v>
      </c>
      <c r="B13">
        <v>8</v>
      </c>
      <c r="C13">
        <v>1.097547244419153E-3</v>
      </c>
      <c r="D13">
        <v>1.3719340555239413E-4</v>
      </c>
    </row>
    <row r="14" spans="1:9" ht="15.75" thickBot="1" x14ac:dyDescent="0.3">
      <c r="A14" s="33" t="s">
        <v>1183</v>
      </c>
      <c r="B14" s="33">
        <v>9</v>
      </c>
      <c r="C14" s="33">
        <v>1.2745673095152597E-3</v>
      </c>
      <c r="D14" s="33"/>
      <c r="E14" s="33"/>
      <c r="F14" s="33"/>
    </row>
    <row r="15" spans="1:9" ht="15.75" thickBot="1" x14ac:dyDescent="0.3"/>
    <row r="16" spans="1:9" x14ac:dyDescent="0.25">
      <c r="A16" s="34"/>
      <c r="B16" s="34" t="s">
        <v>1190</v>
      </c>
      <c r="C16" s="34" t="s">
        <v>1178</v>
      </c>
      <c r="D16" s="34" t="s">
        <v>1191</v>
      </c>
      <c r="E16" s="34" t="s">
        <v>1192</v>
      </c>
      <c r="F16" s="34" t="s">
        <v>1193</v>
      </c>
      <c r="G16" s="34" t="s">
        <v>1194</v>
      </c>
      <c r="H16" s="34" t="s">
        <v>1195</v>
      </c>
      <c r="I16" s="34" t="s">
        <v>1196</v>
      </c>
    </row>
    <row r="17" spans="1:9" x14ac:dyDescent="0.25">
      <c r="A17" t="s">
        <v>1184</v>
      </c>
      <c r="B17">
        <v>-1.8468196564167906E-2</v>
      </c>
      <c r="C17">
        <v>2.6571267660165182E-2</v>
      </c>
      <c r="D17">
        <v>-0.69504386468752677</v>
      </c>
      <c r="E17">
        <v>0.5067098094162934</v>
      </c>
      <c r="F17">
        <v>-7.9741649666125569E-2</v>
      </c>
      <c r="G17">
        <v>4.2805256537789757E-2</v>
      </c>
      <c r="H17">
        <v>-7.9741649666125569E-2</v>
      </c>
      <c r="I17">
        <v>4.2805256537789757E-2</v>
      </c>
    </row>
    <row r="18" spans="1:9" ht="15.75" thickBot="1" x14ac:dyDescent="0.3">
      <c r="A18" s="33" t="s">
        <v>1197</v>
      </c>
      <c r="B18" s="33">
        <v>2.8440456087073487E-2</v>
      </c>
      <c r="C18" s="33">
        <v>2.5037555616347407E-2</v>
      </c>
      <c r="D18" s="33">
        <v>1.1359118486991706</v>
      </c>
      <c r="E18" s="33">
        <v>0.28887482352045785</v>
      </c>
      <c r="F18" s="33">
        <v>-2.9296250699627952E-2</v>
      </c>
      <c r="G18" s="33">
        <v>8.6177162873774929E-2</v>
      </c>
      <c r="H18" s="33">
        <v>-2.9296250699627952E-2</v>
      </c>
      <c r="I18" s="33">
        <v>8.6177162873774929E-2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9BE3B-71A6-4512-BD85-B1081E0A2A39}">
  <sheetPr codeName="Sheet9">
    <tabColor rgb="FF92D050"/>
  </sheetPr>
  <dimension ref="A1:I18"/>
  <sheetViews>
    <sheetView topLeftCell="A3" workbookViewId="0">
      <selection activeCell="L16" sqref="L16"/>
    </sheetView>
  </sheetViews>
  <sheetFormatPr defaultRowHeight="15" x14ac:dyDescent="0.25"/>
  <cols>
    <col min="1" max="1" width="18" bestFit="1" customWidth="1"/>
    <col min="2" max="2" width="12" bestFit="1" customWidth="1"/>
    <col min="3" max="3" width="14.5703125" bestFit="1" customWidth="1"/>
    <col min="4" max="5" width="12" bestFit="1" customWidth="1"/>
    <col min="6" max="6" width="13.42578125" bestFit="1" customWidth="1"/>
  </cols>
  <sheetData>
    <row r="1" spans="1:9" x14ac:dyDescent="0.25">
      <c r="A1" t="s">
        <v>1173</v>
      </c>
    </row>
    <row r="2" spans="1:9" ht="15.75" thickBot="1" x14ac:dyDescent="0.3"/>
    <row r="3" spans="1:9" x14ac:dyDescent="0.25">
      <c r="A3" s="35" t="s">
        <v>1174</v>
      </c>
      <c r="B3" s="35"/>
    </row>
    <row r="4" spans="1:9" x14ac:dyDescent="0.25">
      <c r="A4" t="s">
        <v>1175</v>
      </c>
      <c r="B4">
        <v>0.97705917782990404</v>
      </c>
    </row>
    <row r="5" spans="1:9" x14ac:dyDescent="0.25">
      <c r="A5" t="s">
        <v>1176</v>
      </c>
      <c r="B5">
        <v>0.95464463698164803</v>
      </c>
    </row>
    <row r="6" spans="1:9" x14ac:dyDescent="0.25">
      <c r="A6" t="s">
        <v>1177</v>
      </c>
      <c r="B6">
        <v>0.94816529940759775</v>
      </c>
    </row>
    <row r="7" spans="1:9" x14ac:dyDescent="0.25">
      <c r="A7" t="s">
        <v>1178</v>
      </c>
      <c r="B7">
        <v>1.5388429402264348E-3</v>
      </c>
    </row>
    <row r="8" spans="1:9" ht="15.75" thickBot="1" x14ac:dyDescent="0.3">
      <c r="A8" s="33" t="s">
        <v>1179</v>
      </c>
      <c r="B8" s="33">
        <v>9</v>
      </c>
    </row>
    <row r="10" spans="1:9" ht="15.75" thickBot="1" x14ac:dyDescent="0.3">
      <c r="A10" t="s">
        <v>1180</v>
      </c>
    </row>
    <row r="11" spans="1:9" x14ac:dyDescent="0.25">
      <c r="A11" s="34"/>
      <c r="B11" s="34" t="s">
        <v>1185</v>
      </c>
      <c r="C11" s="34" t="s">
        <v>1186</v>
      </c>
      <c r="D11" s="34" t="s">
        <v>1187</v>
      </c>
      <c r="E11" s="34" t="s">
        <v>1188</v>
      </c>
      <c r="F11" s="34" t="s">
        <v>1189</v>
      </c>
    </row>
    <row r="12" spans="1:9" x14ac:dyDescent="0.25">
      <c r="A12" t="s">
        <v>1181</v>
      </c>
      <c r="B12">
        <v>1</v>
      </c>
      <c r="C12">
        <v>3.4889899840850034E-4</v>
      </c>
      <c r="D12">
        <v>3.4889899840850034E-4</v>
      </c>
      <c r="E12">
        <v>147.33676491945641</v>
      </c>
      <c r="F12">
        <v>5.8876517280102523E-6</v>
      </c>
    </row>
    <row r="13" spans="1:9" x14ac:dyDescent="0.25">
      <c r="A13" t="s">
        <v>1182</v>
      </c>
      <c r="B13">
        <v>7</v>
      </c>
      <c r="C13">
        <v>1.6576263162793171E-5</v>
      </c>
      <c r="D13">
        <v>2.3680375946847387E-6</v>
      </c>
    </row>
    <row r="14" spans="1:9" ht="15.75" thickBot="1" x14ac:dyDescent="0.3">
      <c r="A14" s="33" t="s">
        <v>1183</v>
      </c>
      <c r="B14" s="33">
        <v>8</v>
      </c>
      <c r="C14" s="33">
        <v>3.6547526157129352E-4</v>
      </c>
      <c r="D14" s="33"/>
      <c r="E14" s="33"/>
      <c r="F14" s="33"/>
    </row>
    <row r="15" spans="1:9" ht="15.75" thickBot="1" x14ac:dyDescent="0.3"/>
    <row r="16" spans="1:9" x14ac:dyDescent="0.25">
      <c r="A16" s="34"/>
      <c r="B16" s="34" t="s">
        <v>1190</v>
      </c>
      <c r="C16" s="34" t="s">
        <v>1178</v>
      </c>
      <c r="D16" s="34" t="s">
        <v>1191</v>
      </c>
      <c r="E16" s="34" t="s">
        <v>1192</v>
      </c>
      <c r="F16" s="34" t="s">
        <v>1193</v>
      </c>
      <c r="G16" s="34" t="s">
        <v>1194</v>
      </c>
      <c r="H16" s="34" t="s">
        <v>1195</v>
      </c>
      <c r="I16" s="34" t="s">
        <v>1196</v>
      </c>
    </row>
    <row r="17" spans="1:9" x14ac:dyDescent="0.25">
      <c r="A17" t="s">
        <v>1184</v>
      </c>
      <c r="B17">
        <v>6.6969713286806325E-4</v>
      </c>
      <c r="C17">
        <v>5.5546540326061088E-4</v>
      </c>
      <c r="D17">
        <v>1.2056504850471446</v>
      </c>
      <c r="E17">
        <v>0.26711986353378803</v>
      </c>
      <c r="F17">
        <v>-6.4376983060274325E-4</v>
      </c>
      <c r="G17">
        <v>1.98316409633887E-3</v>
      </c>
      <c r="H17">
        <v>-6.4376983060274325E-4</v>
      </c>
      <c r="I17">
        <v>1.98316409633887E-3</v>
      </c>
    </row>
    <row r="18" spans="1:9" ht="15.75" thickBot="1" x14ac:dyDescent="0.3">
      <c r="A18" s="33" t="s">
        <v>1197</v>
      </c>
      <c r="B18" s="33">
        <v>1.0716399378403664E-2</v>
      </c>
      <c r="C18" s="33">
        <v>8.8286301891315967E-4</v>
      </c>
      <c r="D18" s="33">
        <v>12.138235659248689</v>
      </c>
      <c r="E18" s="33">
        <v>5.8876517280102404E-6</v>
      </c>
      <c r="F18" s="33">
        <v>8.6287600730471873E-3</v>
      </c>
      <c r="G18" s="33">
        <v>1.2804038683760141E-2</v>
      </c>
      <c r="H18" s="33">
        <v>8.6287600730471873E-3</v>
      </c>
      <c r="I18" s="33">
        <v>1.2804038683760141E-2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B880-8452-49EF-90D4-4D312EAD5B16}">
  <sheetPr codeName="Sheet6">
    <tabColor rgb="FFFFFF00"/>
  </sheetPr>
  <dimension ref="A1:K11"/>
  <sheetViews>
    <sheetView workbookViewId="0">
      <selection activeCell="M16" sqref="M16"/>
    </sheetView>
  </sheetViews>
  <sheetFormatPr defaultRowHeight="15" x14ac:dyDescent="0.25"/>
  <sheetData>
    <row r="1" spans="1:11" x14ac:dyDescent="0.25">
      <c r="A1" s="34"/>
      <c r="B1" s="34" t="s">
        <v>1</v>
      </c>
      <c r="C1" s="34" t="s">
        <v>777</v>
      </c>
      <c r="D1" s="34" t="s">
        <v>5</v>
      </c>
      <c r="E1" s="34" t="s">
        <v>1167</v>
      </c>
      <c r="F1" s="34" t="s">
        <v>1168</v>
      </c>
      <c r="G1" s="34" t="s">
        <v>26</v>
      </c>
      <c r="H1" s="34" t="s">
        <v>30</v>
      </c>
      <c r="I1" s="34" t="s">
        <v>674</v>
      </c>
      <c r="J1" s="34" t="s">
        <v>1169</v>
      </c>
      <c r="K1" s="34" t="s">
        <v>1170</v>
      </c>
    </row>
    <row r="2" spans="1:11" x14ac:dyDescent="0.25">
      <c r="A2" t="s">
        <v>1</v>
      </c>
      <c r="B2">
        <f>VARP(Returns!$B$21:$B$32)</f>
        <v>3.5189894389375956E-3</v>
      </c>
      <c r="C2">
        <v>2.6625375124260421E-3</v>
      </c>
      <c r="D2">
        <v>1.418830952216465E-3</v>
      </c>
      <c r="E2">
        <v>-2.1791875941661086E-4</v>
      </c>
      <c r="F2">
        <v>1.3400349565280498E-3</v>
      </c>
      <c r="G2">
        <v>1.2374926694664627E-3</v>
      </c>
      <c r="H2">
        <v>-5.6543808216701949E-5</v>
      </c>
      <c r="I2">
        <v>1.2396120044392547E-4</v>
      </c>
      <c r="J2">
        <v>1.172327232302963E-3</v>
      </c>
      <c r="K2">
        <v>1.9189213620237388E-4</v>
      </c>
    </row>
    <row r="3" spans="1:11" x14ac:dyDescent="0.25">
      <c r="A3" t="s">
        <v>777</v>
      </c>
      <c r="B3">
        <v>2.6625375124260421E-3</v>
      </c>
      <c r="C3">
        <f>VARP(Returns!$C$21:$C$32)</f>
        <v>3.4387913958762823E-3</v>
      </c>
      <c r="D3">
        <v>7.8347653049272773E-4</v>
      </c>
      <c r="E3">
        <v>-2.2376729656554523E-3</v>
      </c>
      <c r="F3">
        <v>1.2704455549629892E-3</v>
      </c>
      <c r="G3">
        <v>9.0558903306706953E-4</v>
      </c>
      <c r="H3">
        <v>-5.2911802396480602E-4</v>
      </c>
      <c r="I3">
        <v>-9.5447939775653229E-4</v>
      </c>
      <c r="J3">
        <v>1.879846215090392E-3</v>
      </c>
      <c r="K3">
        <v>4.7990680217842367E-4</v>
      </c>
    </row>
    <row r="4" spans="1:11" x14ac:dyDescent="0.25">
      <c r="A4" t="s">
        <v>5</v>
      </c>
      <c r="B4">
        <v>1.418830952216465E-3</v>
      </c>
      <c r="C4">
        <v>7.8347653049272773E-4</v>
      </c>
      <c r="D4">
        <f>VARP(Returns!$D$21:$D$32)</f>
        <v>2.117907449540414E-3</v>
      </c>
      <c r="E4">
        <v>1.9345477660734063E-3</v>
      </c>
      <c r="F4">
        <v>1.4081871381204441E-3</v>
      </c>
      <c r="G4">
        <v>1.2722429872818609E-3</v>
      </c>
      <c r="H4">
        <v>7.1527710792369272E-4</v>
      </c>
      <c r="I4">
        <v>1.8705417628709711E-3</v>
      </c>
      <c r="J4">
        <v>8.8643347546576653E-4</v>
      </c>
      <c r="K4">
        <v>4.1988041557153907E-4</v>
      </c>
    </row>
    <row r="5" spans="1:11" x14ac:dyDescent="0.25">
      <c r="A5" t="s">
        <v>1167</v>
      </c>
      <c r="B5">
        <v>-2.1791875941661086E-4</v>
      </c>
      <c r="C5">
        <v>-2.2376729656554523E-3</v>
      </c>
      <c r="D5">
        <v>1.9345477660734063E-3</v>
      </c>
      <c r="E5">
        <f>VARP(Returns!$E$21:$E$32)</f>
        <v>7.9407285569503064E-3</v>
      </c>
      <c r="F5">
        <v>7.3316767462152082E-4</v>
      </c>
      <c r="G5">
        <v>3.9755741443023193E-4</v>
      </c>
      <c r="H5">
        <v>2.4754861012790392E-4</v>
      </c>
      <c r="I5">
        <v>4.7885748233146641E-3</v>
      </c>
      <c r="J5">
        <v>1.6243028900145117E-3</v>
      </c>
      <c r="K5">
        <v>-2.3474910896539763E-4</v>
      </c>
    </row>
    <row r="6" spans="1:11" x14ac:dyDescent="0.25">
      <c r="A6" t="s">
        <v>1168</v>
      </c>
      <c r="B6">
        <v>1.3400349565280498E-3</v>
      </c>
      <c r="C6">
        <v>1.2704455549629892E-3</v>
      </c>
      <c r="D6">
        <v>1.4081871381204441E-3</v>
      </c>
      <c r="E6">
        <v>7.3316767462152082E-4</v>
      </c>
      <c r="F6">
        <f>VARP(Returns!$F$21:$F$32)</f>
        <v>1.6226789202651599E-3</v>
      </c>
      <c r="G6">
        <v>1.2226868459314778E-3</v>
      </c>
      <c r="H6">
        <v>3.5858154737206322E-4</v>
      </c>
      <c r="I6">
        <v>8.9410706396835752E-4</v>
      </c>
      <c r="J6">
        <v>1.6121102092967663E-3</v>
      </c>
      <c r="K6">
        <v>6.5557185413280331E-4</v>
      </c>
    </row>
    <row r="7" spans="1:11" x14ac:dyDescent="0.25">
      <c r="A7" t="s">
        <v>26</v>
      </c>
      <c r="B7">
        <v>1.2374926694664627E-3</v>
      </c>
      <c r="C7">
        <v>9.0558903306706953E-4</v>
      </c>
      <c r="D7">
        <v>1.2722429872818609E-3</v>
      </c>
      <c r="E7">
        <v>3.9755741443023193E-4</v>
      </c>
      <c r="F7">
        <v>1.2226868459314778E-3</v>
      </c>
      <c r="G7">
        <f>VARP(Returns!$G$21:$G$32)</f>
        <v>1.3748184964328689E-3</v>
      </c>
      <c r="H7">
        <v>4.1391403811443683E-4</v>
      </c>
      <c r="I7">
        <v>1.0287869260532869E-3</v>
      </c>
      <c r="J7">
        <v>3.4532042229993773E-4</v>
      </c>
      <c r="K7">
        <v>4.3190637702670643E-4</v>
      </c>
    </row>
    <row r="8" spans="1:11" x14ac:dyDescent="0.25">
      <c r="A8" t="s">
        <v>30</v>
      </c>
      <c r="B8">
        <v>-5.6543808216701949E-5</v>
      </c>
      <c r="C8">
        <v>-5.2911802396480602E-4</v>
      </c>
      <c r="D8">
        <v>7.1527710792369272E-4</v>
      </c>
      <c r="E8">
        <v>2.4754861012790392E-4</v>
      </c>
      <c r="F8">
        <v>3.5858154737206322E-4</v>
      </c>
      <c r="G8">
        <v>4.1391403811443683E-4</v>
      </c>
      <c r="H8">
        <f>VARP(Returns!$H$21:$H$32)</f>
        <v>2.2263831756264823E-3</v>
      </c>
      <c r="I8">
        <v>-4.0348033152698746E-4</v>
      </c>
      <c r="J8">
        <v>2.9622932487542746E-4</v>
      </c>
      <c r="K8">
        <v>8.5686742914496726E-4</v>
      </c>
    </row>
    <row r="9" spans="1:11" x14ac:dyDescent="0.25">
      <c r="A9" t="s">
        <v>674</v>
      </c>
      <c r="B9">
        <v>1.2396120044392547E-4</v>
      </c>
      <c r="C9">
        <v>-9.5447939775653229E-4</v>
      </c>
      <c r="D9">
        <v>1.8705417628709711E-3</v>
      </c>
      <c r="E9">
        <v>4.7885748233146641E-3</v>
      </c>
      <c r="F9">
        <v>8.9410706396835752E-4</v>
      </c>
      <c r="G9">
        <v>1.0287869260532869E-3</v>
      </c>
      <c r="H9">
        <v>-4.0348033152698746E-4</v>
      </c>
      <c r="I9">
        <f>VARP(Returns!$I$21:$I$32)</f>
        <v>4.3611350585936832E-3</v>
      </c>
      <c r="J9">
        <v>-1.5079534470136913E-5</v>
      </c>
      <c r="K9">
        <v>-6.747753994030553E-4</v>
      </c>
    </row>
    <row r="10" spans="1:11" x14ac:dyDescent="0.25">
      <c r="A10" t="s">
        <v>1169</v>
      </c>
      <c r="B10">
        <v>1.172327232302963E-3</v>
      </c>
      <c r="C10">
        <v>1.879846215090392E-3</v>
      </c>
      <c r="D10">
        <v>8.8643347546576653E-4</v>
      </c>
      <c r="E10">
        <v>1.6243028900145117E-3</v>
      </c>
      <c r="F10">
        <v>1.6121102092967663E-3</v>
      </c>
      <c r="G10">
        <v>3.4532042229993773E-4</v>
      </c>
      <c r="H10">
        <v>2.9622932487542746E-4</v>
      </c>
      <c r="I10">
        <v>-1.5079534470136913E-5</v>
      </c>
      <c r="J10">
        <f>VARP(Returns!$J$21:$J$32)</f>
        <v>5.4414744257373238E-3</v>
      </c>
      <c r="K10">
        <f>J11</f>
        <v>1.0367506491163814E-3</v>
      </c>
    </row>
    <row r="11" spans="1:11" ht="15.75" thickBot="1" x14ac:dyDescent="0.3">
      <c r="A11" s="33" t="s">
        <v>1170</v>
      </c>
      <c r="B11" s="33">
        <v>1.9189213620237388E-4</v>
      </c>
      <c r="C11" s="33">
        <v>4.7990680217842367E-4</v>
      </c>
      <c r="D11" s="33">
        <v>4.1988041557153907E-4</v>
      </c>
      <c r="E11" s="33">
        <v>-2.3474910896539763E-4</v>
      </c>
      <c r="F11" s="33">
        <v>6.5557185413280331E-4</v>
      </c>
      <c r="G11" s="33">
        <v>4.3190637702670643E-4</v>
      </c>
      <c r="H11" s="33">
        <v>8.5686742914496726E-4</v>
      </c>
      <c r="I11" s="33">
        <v>-6.747753994030553E-4</v>
      </c>
      <c r="J11" s="33">
        <v>1.0367506491163814E-3</v>
      </c>
      <c r="K11" s="33">
        <f>VARP(Returns!$K$21:$K$32)</f>
        <v>1.5474704559558241E-3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69338-D982-4382-9D43-66552833D435}">
  <sheetPr codeName="Sheet10">
    <tabColor rgb="FFFF0000"/>
  </sheetPr>
  <dimension ref="A1:AC68"/>
  <sheetViews>
    <sheetView topLeftCell="A39" zoomScale="96" workbookViewId="0">
      <selection activeCell="F65" sqref="F65"/>
    </sheetView>
  </sheetViews>
  <sheetFormatPr defaultRowHeight="15" x14ac:dyDescent="0.25"/>
  <cols>
    <col min="1" max="1" width="15.42578125" style="36" bestFit="1" customWidth="1"/>
    <col min="2" max="2" width="9.140625" style="36"/>
    <col min="3" max="3" width="20.140625" style="36" bestFit="1" customWidth="1"/>
    <col min="17" max="17" width="13.140625" bestFit="1" customWidth="1"/>
  </cols>
  <sheetData>
    <row r="1" spans="1:27" ht="30" x14ac:dyDescent="0.25">
      <c r="A1" s="38"/>
      <c r="B1" s="26" t="s">
        <v>1144</v>
      </c>
      <c r="C1" s="26" t="s">
        <v>1165</v>
      </c>
      <c r="D1" s="26" t="s">
        <v>1148</v>
      </c>
      <c r="E1" s="26" t="s">
        <v>1149</v>
      </c>
      <c r="F1" s="26" t="s">
        <v>1150</v>
      </c>
      <c r="G1" s="26" t="s">
        <v>1151</v>
      </c>
      <c r="H1" s="26" t="s">
        <v>1152</v>
      </c>
      <c r="I1" s="26" t="s">
        <v>1153</v>
      </c>
      <c r="J1" s="26" t="s">
        <v>1154</v>
      </c>
      <c r="K1" s="26" t="s">
        <v>1155</v>
      </c>
      <c r="L1" s="49" t="s">
        <v>7</v>
      </c>
    </row>
    <row r="2" spans="1:27" x14ac:dyDescent="0.25">
      <c r="B2" s="27" t="str">
        <f>Portfolio_BestFund!C4</f>
        <v>AAPL</v>
      </c>
      <c r="C2" s="27" t="str">
        <f>Portfolio_BestFund!D4</f>
        <v>MSFT</v>
      </c>
      <c r="D2" s="27" t="str">
        <f>Portfolio_BestFund!E4</f>
        <v>JNJ</v>
      </c>
      <c r="E2" s="27" t="str">
        <f>Portfolio_BestFund!F4</f>
        <v>PG</v>
      </c>
      <c r="F2" s="27" t="str">
        <f>Portfolio_BestFund!G4</f>
        <v>KO</v>
      </c>
      <c r="G2" s="27" t="str">
        <f>Portfolio_BestFund!H4</f>
        <v>PEP</v>
      </c>
      <c r="H2" s="27" t="str">
        <f>Portfolio_BestFund!I4</f>
        <v>XOM</v>
      </c>
      <c r="I2" s="27" t="str">
        <f>Portfolio_BestFund!J4</f>
        <v>JPM</v>
      </c>
      <c r="J2" s="27" t="str">
        <f>Portfolio_BestFund!K4</f>
        <v>VZ</v>
      </c>
      <c r="K2" s="27" t="str">
        <f>Portfolio_BestFund!L4</f>
        <v>WMT</v>
      </c>
      <c r="L2" s="49"/>
    </row>
    <row r="3" spans="1:27" x14ac:dyDescent="0.25">
      <c r="A3" s="60" t="s">
        <v>20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2"/>
    </row>
    <row r="4" spans="1:27" x14ac:dyDescent="0.25">
      <c r="A4" s="23" t="s">
        <v>11</v>
      </c>
      <c r="B4" s="36">
        <f>AVERAGE(B22:B33)</f>
        <v>2.2812152336797249E-2</v>
      </c>
      <c r="C4" s="36">
        <f t="shared" ref="C4:L4" si="0">AVERAGE(C22:C33)</f>
        <v>4.1435286024997901E-2</v>
      </c>
      <c r="D4">
        <f t="shared" si="0"/>
        <v>-2.3129426481169799E-3</v>
      </c>
      <c r="E4">
        <f t="shared" si="0"/>
        <v>-9.9166193607143314E-3</v>
      </c>
      <c r="F4">
        <f t="shared" si="0"/>
        <v>3.4580940581963585E-4</v>
      </c>
      <c r="G4">
        <f t="shared" si="0"/>
        <v>7.5597083511813514E-4</v>
      </c>
      <c r="H4">
        <f t="shared" si="0"/>
        <v>-8.3046135156784103E-3</v>
      </c>
      <c r="I4">
        <f t="shared" si="0"/>
        <v>2.0542452121764036E-2</v>
      </c>
      <c r="J4">
        <f t="shared" si="0"/>
        <v>4.3147597170101202E-3</v>
      </c>
      <c r="K4">
        <f t="shared" si="0"/>
        <v>1.3463033603295054E-2</v>
      </c>
      <c r="L4">
        <f t="shared" si="0"/>
        <v>1.5228575799004307E-2</v>
      </c>
    </row>
    <row r="5" spans="1:27" x14ac:dyDescent="0.25">
      <c r="A5" s="23" t="s">
        <v>12</v>
      </c>
      <c r="B5" s="36">
        <f>_xlfn.VAR.P(B22:B33)</f>
        <v>3.5189894389375956E-3</v>
      </c>
      <c r="C5" s="36">
        <f t="shared" ref="C5:L5" si="1">_xlfn.VAR.P(C22:C33)</f>
        <v>3.4387913958762823E-3</v>
      </c>
      <c r="D5">
        <f t="shared" si="1"/>
        <v>2.117907449540414E-3</v>
      </c>
      <c r="E5">
        <f t="shared" si="1"/>
        <v>7.9407285569503064E-3</v>
      </c>
      <c r="F5">
        <f t="shared" si="1"/>
        <v>1.6226789202651599E-3</v>
      </c>
      <c r="G5">
        <f t="shared" si="1"/>
        <v>1.3748184964328689E-3</v>
      </c>
      <c r="H5">
        <f t="shared" si="1"/>
        <v>2.2263831756264823E-3</v>
      </c>
      <c r="I5">
        <f t="shared" si="1"/>
        <v>4.3611350585936832E-3</v>
      </c>
      <c r="J5">
        <f t="shared" si="1"/>
        <v>5.4414744257373238E-3</v>
      </c>
      <c r="K5">
        <f t="shared" si="1"/>
        <v>1.5474704559558241E-3</v>
      </c>
      <c r="L5">
        <f t="shared" si="1"/>
        <v>1.4685288125867015E-3</v>
      </c>
      <c r="Q5" t="s">
        <v>1</v>
      </c>
      <c r="R5" t="s">
        <v>777</v>
      </c>
      <c r="S5" t="s">
        <v>5</v>
      </c>
      <c r="T5" t="s">
        <v>1167</v>
      </c>
      <c r="U5" t="s">
        <v>1168</v>
      </c>
      <c r="V5" t="s">
        <v>26</v>
      </c>
      <c r="W5" t="s">
        <v>30</v>
      </c>
      <c r="X5" t="s">
        <v>674</v>
      </c>
      <c r="Y5" t="s">
        <v>1169</v>
      </c>
      <c r="Z5" t="s">
        <v>1170</v>
      </c>
      <c r="AA5" t="s">
        <v>7</v>
      </c>
    </row>
    <row r="6" spans="1:27" x14ac:dyDescent="0.25">
      <c r="A6" s="24" t="s">
        <v>13</v>
      </c>
      <c r="B6" s="37">
        <f>SQRT(B5)</f>
        <v>5.9321070783808307E-2</v>
      </c>
      <c r="C6" s="37">
        <f t="shared" ref="C6:L6" si="2">SQRT(C5)</f>
        <v>5.8641209024680604E-2</v>
      </c>
      <c r="D6" s="20">
        <f t="shared" si="2"/>
        <v>4.6020728476855018E-2</v>
      </c>
      <c r="E6" s="20">
        <f t="shared" si="2"/>
        <v>8.911076566246251E-2</v>
      </c>
      <c r="F6" s="20">
        <f t="shared" si="2"/>
        <v>4.0282489002855318E-2</v>
      </c>
      <c r="G6" s="20">
        <f t="shared" si="2"/>
        <v>3.7078544961107476E-2</v>
      </c>
      <c r="H6" s="20">
        <f t="shared" si="2"/>
        <v>4.7184565014700329E-2</v>
      </c>
      <c r="I6" s="20">
        <f t="shared" si="2"/>
        <v>6.603889050092894E-2</v>
      </c>
      <c r="J6" s="20">
        <f t="shared" si="2"/>
        <v>7.3766350226490973E-2</v>
      </c>
      <c r="K6" s="20">
        <f t="shared" si="2"/>
        <v>3.9337901011058329E-2</v>
      </c>
      <c r="L6" s="20">
        <f t="shared" si="2"/>
        <v>3.8321388448054716E-2</v>
      </c>
      <c r="Q6">
        <v>-8.2510570879901711E-4</v>
      </c>
      <c r="R6">
        <v>-2.563796529194497E-2</v>
      </c>
      <c r="S6">
        <v>-7.488473794472808E-2</v>
      </c>
      <c r="T6">
        <v>-9.2310866335628718E-3</v>
      </c>
      <c r="U6">
        <v>-4.027394663230599E-2</v>
      </c>
      <c r="V6">
        <v>-1.340613959035338E-3</v>
      </c>
      <c r="W6">
        <v>-3.3554109689736974E-2</v>
      </c>
      <c r="X6">
        <v>2.1205006028528317E-2</v>
      </c>
      <c r="Y6">
        <v>-8.1314451938518523E-2</v>
      </c>
      <c r="Z6">
        <v>-3.1243471381503081E-2</v>
      </c>
      <c r="AA6">
        <v>-2.4445330144812129E-2</v>
      </c>
    </row>
    <row r="7" spans="1:27" x14ac:dyDescent="0.25">
      <c r="A7" s="60" t="s">
        <v>21</v>
      </c>
      <c r="B7" s="61"/>
      <c r="C7" s="61"/>
      <c r="D7" s="61"/>
      <c r="E7" s="61"/>
      <c r="F7" s="61"/>
      <c r="G7" s="61"/>
      <c r="H7" s="61"/>
      <c r="I7" s="61"/>
      <c r="J7" s="61"/>
      <c r="K7" s="61"/>
      <c r="L7" s="62"/>
      <c r="Q7">
        <v>0.14355516455046435</v>
      </c>
      <c r="R7">
        <v>0.16632154141091052</v>
      </c>
      <c r="S7">
        <v>2.8052687775006663E-2</v>
      </c>
      <c r="T7">
        <v>-0.1928094192703797</v>
      </c>
      <c r="U7">
        <v>6.0142726449526736E-2</v>
      </c>
      <c r="V7">
        <v>6.5195809546303746E-2</v>
      </c>
      <c r="W7">
        <v>4.7254016526388019E-2</v>
      </c>
      <c r="X7">
        <v>-8.6916865130825582E-2</v>
      </c>
      <c r="Y7">
        <v>2.4020939999193049E-2</v>
      </c>
      <c r="Z7">
        <v>6.0934664239414307E-2</v>
      </c>
      <c r="AA7">
        <v>3.2466294430069501E-2</v>
      </c>
    </row>
    <row r="8" spans="1:27" x14ac:dyDescent="0.25">
      <c r="A8" s="23" t="s">
        <v>11</v>
      </c>
      <c r="B8" s="36">
        <f>B4*12</f>
        <v>0.273745828041567</v>
      </c>
      <c r="C8" s="36">
        <f t="shared" ref="C8:L9" si="3">C4*12</f>
        <v>0.49722343229997479</v>
      </c>
      <c r="D8">
        <f t="shared" si="3"/>
        <v>-2.7755311777403757E-2</v>
      </c>
      <c r="E8">
        <f t="shared" si="3"/>
        <v>-0.11899943232857198</v>
      </c>
      <c r="F8">
        <f t="shared" si="3"/>
        <v>4.1497128698356305E-3</v>
      </c>
      <c r="G8">
        <f t="shared" si="3"/>
        <v>9.0716500214176217E-3</v>
      </c>
      <c r="H8">
        <f t="shared" si="3"/>
        <v>-9.9655362188140917E-2</v>
      </c>
      <c r="I8">
        <f t="shared" si="3"/>
        <v>0.24650942546116844</v>
      </c>
      <c r="J8">
        <f t="shared" si="3"/>
        <v>5.1777116604121445E-2</v>
      </c>
      <c r="K8">
        <f t="shared" si="3"/>
        <v>0.16155640323954065</v>
      </c>
      <c r="L8">
        <f t="shared" si="3"/>
        <v>0.18274290958805167</v>
      </c>
      <c r="Q8">
        <v>2.0581321578087557E-2</v>
      </c>
      <c r="R8">
        <v>6.3816404523057202E-2</v>
      </c>
      <c r="S8">
        <v>4.303474489854487E-2</v>
      </c>
      <c r="T8">
        <v>4.6171098601740426E-3</v>
      </c>
      <c r="U8">
        <v>3.0448741657336638E-2</v>
      </c>
      <c r="V8">
        <v>5.030132973030791E-2</v>
      </c>
      <c r="W8">
        <v>-1.2572109868277186E-2</v>
      </c>
      <c r="X8">
        <v>8.4818630727701891E-2</v>
      </c>
      <c r="Y8">
        <v>-1.3003623670496955E-2</v>
      </c>
      <c r="Z8">
        <v>1.9503676286661845E-2</v>
      </c>
      <c r="AA8">
        <v>1.5564407629197865E-2</v>
      </c>
    </row>
    <row r="9" spans="1:27" x14ac:dyDescent="0.25">
      <c r="A9" s="23" t="s">
        <v>12</v>
      </c>
      <c r="B9" s="36">
        <f>B5*12</f>
        <v>4.2227873267251151E-2</v>
      </c>
      <c r="C9" s="36">
        <f t="shared" si="3"/>
        <v>4.1265496750515385E-2</v>
      </c>
      <c r="D9">
        <f t="shared" si="3"/>
        <v>2.5414889394484969E-2</v>
      </c>
      <c r="E9">
        <f t="shared" si="3"/>
        <v>9.5288742683403677E-2</v>
      </c>
      <c r="F9">
        <f t="shared" si="3"/>
        <v>1.9472147043181919E-2</v>
      </c>
      <c r="G9">
        <f t="shared" si="3"/>
        <v>1.6497821957194427E-2</v>
      </c>
      <c r="H9">
        <f t="shared" si="3"/>
        <v>2.6716598107517787E-2</v>
      </c>
      <c r="I9">
        <f t="shared" si="3"/>
        <v>5.2333620703124195E-2</v>
      </c>
      <c r="J9">
        <f t="shared" si="3"/>
        <v>6.5297693108847893E-2</v>
      </c>
      <c r="K9">
        <f t="shared" si="3"/>
        <v>1.856964547146989E-2</v>
      </c>
      <c r="L9">
        <f t="shared" si="3"/>
        <v>1.7622345751040418E-2</v>
      </c>
      <c r="Q9">
        <v>6.1914029286726513E-2</v>
      </c>
      <c r="R9">
        <v>8.8427769438277001E-2</v>
      </c>
      <c r="S9">
        <v>-5.537904938493822E-2</v>
      </c>
      <c r="T9">
        <v>-9.4620163319361919E-2</v>
      </c>
      <c r="U9">
        <v>-6.6874072281093933E-2</v>
      </c>
      <c r="V9">
        <v>-4.9509550276470048E-2</v>
      </c>
      <c r="W9">
        <v>-9.8630834038476889E-2</v>
      </c>
      <c r="X9">
        <v>-2.5637359740980969E-2</v>
      </c>
      <c r="Y9">
        <v>-7.7240969632801984E-2</v>
      </c>
      <c r="Z9">
        <v>-2.7574380936448321E-2</v>
      </c>
      <c r="AA9">
        <v>4.3120243135827937E-3</v>
      </c>
    </row>
    <row r="10" spans="1:27" x14ac:dyDescent="0.25">
      <c r="A10" s="24" t="s">
        <v>13</v>
      </c>
      <c r="B10" s="37">
        <f>B6*SQRT(12)</f>
        <v>0.2054942171138914</v>
      </c>
      <c r="C10" s="37">
        <f t="shared" ref="C10:L10" si="4">C6*SQRT(12)</f>
        <v>0.20313910689602674</v>
      </c>
      <c r="D10" s="20">
        <f t="shared" si="4"/>
        <v>0.15942047984648952</v>
      </c>
      <c r="E10" s="20">
        <f t="shared" si="4"/>
        <v>0.30868874725749834</v>
      </c>
      <c r="F10" s="20">
        <f t="shared" si="4"/>
        <v>0.13954263521655993</v>
      </c>
      <c r="G10" s="20">
        <f t="shared" si="4"/>
        <v>0.12844384748673024</v>
      </c>
      <c r="H10" s="20">
        <f t="shared" si="4"/>
        <v>0.16345212787699578</v>
      </c>
      <c r="I10" s="20">
        <f t="shared" si="4"/>
        <v>0.22876542724617324</v>
      </c>
      <c r="J10" s="20">
        <f t="shared" si="4"/>
        <v>0.25553413296240463</v>
      </c>
      <c r="K10" s="20">
        <f t="shared" si="4"/>
        <v>0.13627048642853626</v>
      </c>
      <c r="L10" s="20">
        <f t="shared" si="4"/>
        <v>0.13274918361722762</v>
      </c>
      <c r="Q10">
        <v>6.8687937295348611E-2</v>
      </c>
      <c r="R10">
        <v>1.6266774552093639E-2</v>
      </c>
      <c r="S10">
        <v>5.7007979811872583E-2</v>
      </c>
      <c r="T10">
        <v>0.14347555239353732</v>
      </c>
      <c r="U10">
        <v>9.6666971842447914E-3</v>
      </c>
      <c r="V10">
        <v>1.8716744148494585E-2</v>
      </c>
      <c r="W10">
        <v>3.9667167665539613E-2</v>
      </c>
      <c r="X10">
        <v>6.563453015784626E-2</v>
      </c>
      <c r="Y10">
        <v>4.3672942477101545E-2</v>
      </c>
      <c r="Z10">
        <v>7.3197239133158593E-2</v>
      </c>
      <c r="AA10">
        <v>6.1893800274163947E-2</v>
      </c>
    </row>
    <row r="11" spans="1:27" x14ac:dyDescent="0.25">
      <c r="Q11">
        <v>1.6367005022334541E-2</v>
      </c>
      <c r="R11">
        <v>-4.8817833195006956E-3</v>
      </c>
      <c r="S11">
        <v>3.391486427384701E-2</v>
      </c>
      <c r="T11">
        <v>3.2641338549891E-2</v>
      </c>
      <c r="U11">
        <v>1.9643423419293527E-2</v>
      </c>
      <c r="V11">
        <v>6.5732822229691793E-3</v>
      </c>
      <c r="W11">
        <v>-7.8168280760023776E-3</v>
      </c>
      <c r="X11">
        <v>7.2095982684848944E-2</v>
      </c>
      <c r="Y11">
        <v>-0.10327249464018662</v>
      </c>
      <c r="Z11">
        <v>5.7522113971146763E-3</v>
      </c>
      <c r="AA11">
        <v>3.207813717848796E-2</v>
      </c>
    </row>
    <row r="12" spans="1:27" x14ac:dyDescent="0.25">
      <c r="A12" s="63" t="s">
        <v>14</v>
      </c>
      <c r="B12" s="57"/>
      <c r="Q12">
        <v>-3.1440079123229388E-2</v>
      </c>
      <c r="R12">
        <v>-2.2834015458767652E-2</v>
      </c>
      <c r="S12">
        <v>-4.979574689148103E-2</v>
      </c>
      <c r="T12">
        <v>-8.3448737296078403E-3</v>
      </c>
      <c r="U12">
        <v>-3.9825142726924813E-2</v>
      </c>
      <c r="V12">
        <v>-6.1556576111477183E-2</v>
      </c>
      <c r="W12">
        <v>6.4715754255648822E-2</v>
      </c>
      <c r="X12">
        <v>-6.5911603475718228E-2</v>
      </c>
      <c r="Y12">
        <v>4.2775958484044113E-2</v>
      </c>
      <c r="Z12">
        <v>1.5460996009276818E-2</v>
      </c>
      <c r="AA12">
        <v>-1.5929955396124889E-2</v>
      </c>
    </row>
    <row r="13" spans="1:27" x14ac:dyDescent="0.25">
      <c r="A13" s="31"/>
      <c r="B13" s="32" t="str">
        <f>B2</f>
        <v>AAPL</v>
      </c>
      <c r="C13" s="32" t="str">
        <f t="shared" ref="C13:K13" si="5">C2</f>
        <v>MSFT</v>
      </c>
      <c r="D13" s="32" t="str">
        <f t="shared" si="5"/>
        <v>JNJ</v>
      </c>
      <c r="E13" s="32" t="str">
        <f t="shared" si="5"/>
        <v>PG</v>
      </c>
      <c r="F13" s="32" t="str">
        <f t="shared" si="5"/>
        <v>KO</v>
      </c>
      <c r="G13" s="32" t="str">
        <f t="shared" si="5"/>
        <v>PEP</v>
      </c>
      <c r="H13" s="32" t="str">
        <f t="shared" si="5"/>
        <v>XOM</v>
      </c>
      <c r="I13" s="32" t="str">
        <f t="shared" si="5"/>
        <v>JPM</v>
      </c>
      <c r="J13" s="32" t="str">
        <f t="shared" si="5"/>
        <v>VZ</v>
      </c>
      <c r="K13" s="32" t="str">
        <f t="shared" si="5"/>
        <v>WMT</v>
      </c>
      <c r="L13" s="32"/>
      <c r="Q13">
        <v>-8.2919910045148967E-2</v>
      </c>
      <c r="R13">
        <v>-2.0872682385147334E-2</v>
      </c>
      <c r="S13">
        <v>-3.3212873709841675E-2</v>
      </c>
      <c r="T13">
        <v>-0.10480684927602464</v>
      </c>
      <c r="U13">
        <v>-6.4575986214349568E-2</v>
      </c>
      <c r="V13">
        <v>-3.5078763965029382E-2</v>
      </c>
      <c r="W13">
        <v>1.8587039048159327E-2</v>
      </c>
      <c r="X13">
        <v>-2.0773756297550478E-2</v>
      </c>
      <c r="Y13">
        <v>-8.8927146505820426E-2</v>
      </c>
      <c r="Z13">
        <v>-9.0981840322159994E-3</v>
      </c>
      <c r="AA13">
        <v>-5.1297424336898753E-2</v>
      </c>
    </row>
    <row r="14" spans="1:27" x14ac:dyDescent="0.25">
      <c r="A14" s="23" t="s">
        <v>15</v>
      </c>
      <c r="B14" s="7">
        <f>INTERCEPT(B22:B33,$L22:$L33)</f>
        <v>6.7637995690472269E-3</v>
      </c>
      <c r="C14" s="7">
        <f t="shared" ref="C14:K14" si="6">INTERCEPT(C22:C33,$L22:$L33)</f>
        <v>3.3559365662886524E-2</v>
      </c>
      <c r="D14" s="25">
        <f t="shared" si="6"/>
        <v>-1.7676214568556423E-2</v>
      </c>
      <c r="E14" s="25">
        <f t="shared" si="6"/>
        <v>-3.0539679459685311E-2</v>
      </c>
      <c r="F14" s="25">
        <f t="shared" si="6"/>
        <v>-1.0526270467829498E-2</v>
      </c>
      <c r="G14" s="25">
        <f t="shared" si="6"/>
        <v>-8.1378936935142289E-3</v>
      </c>
      <c r="H14" s="25">
        <f t="shared" si="6"/>
        <v>-1.0684360687443384E-2</v>
      </c>
      <c r="I14" s="25">
        <f t="shared" si="6"/>
        <v>3.9242937118093256E-3</v>
      </c>
      <c r="J14" s="25">
        <f t="shared" si="6"/>
        <v>-6.3800655378369433E-3</v>
      </c>
      <c r="K14" s="25">
        <f t="shared" si="6"/>
        <v>1.2415748725712921E-2</v>
      </c>
      <c r="Q14">
        <v>1.2661940759890451E-3</v>
      </c>
      <c r="R14">
        <v>7.5419578781538696E-2</v>
      </c>
      <c r="S14">
        <v>-4.163707192530279E-2</v>
      </c>
      <c r="T14">
        <v>-4.2016763804439305E-2</v>
      </c>
      <c r="U14">
        <v>1.7303516445450078E-2</v>
      </c>
      <c r="V14">
        <v>-2.5418236674942328E-2</v>
      </c>
      <c r="W14">
        <v>-8.6396247522822628E-2</v>
      </c>
      <c r="X14">
        <v>-3.3595337605341516E-2</v>
      </c>
      <c r="Y14">
        <v>0.11460961179990602</v>
      </c>
      <c r="Z14">
        <v>2.979388054913339E-2</v>
      </c>
      <c r="AA14">
        <v>-2.1057155135367388E-2</v>
      </c>
    </row>
    <row r="15" spans="1:27" x14ac:dyDescent="0.25">
      <c r="A15" s="23" t="s">
        <v>16</v>
      </c>
      <c r="B15" s="7">
        <f>SLOPE(B22:B33,$L22:$L33)</f>
        <v>1.0538314928175565</v>
      </c>
      <c r="C15" s="7">
        <f t="shared" ref="C15:K15" si="7">SLOPE(C22:C33,$L22:$L33)</f>
        <v>0.51718036315821003</v>
      </c>
      <c r="D15" s="25">
        <f t="shared" si="7"/>
        <v>1.0088449585314434</v>
      </c>
      <c r="E15" s="25">
        <f t="shared" si="7"/>
        <v>1.354234327041888</v>
      </c>
      <c r="F15" s="25">
        <f t="shared" si="7"/>
        <v>0.71392624084781353</v>
      </c>
      <c r="G15" s="25">
        <f t="shared" si="7"/>
        <v>0.58402470762984104</v>
      </c>
      <c r="H15" s="25">
        <f t="shared" si="7"/>
        <v>0.15626853115972736</v>
      </c>
      <c r="I15" s="25">
        <f t="shared" si="7"/>
        <v>1.0912483628995207</v>
      </c>
      <c r="J15" s="25">
        <f t="shared" si="7"/>
        <v>0.70228663507367017</v>
      </c>
      <c r="K15" s="25">
        <f t="shared" si="7"/>
        <v>6.877103226229514E-2</v>
      </c>
      <c r="Q15">
        <v>9.9270012940632188E-2</v>
      </c>
      <c r="R15">
        <v>8.2179911114810711E-2</v>
      </c>
      <c r="S15">
        <v>6.5169159205742941E-2</v>
      </c>
      <c r="T15">
        <v>0.10808796330903368</v>
      </c>
      <c r="U15">
        <v>3.8979461666718729E-2</v>
      </c>
      <c r="V15">
        <v>2.3169815232319747E-2</v>
      </c>
      <c r="W15">
        <v>-2.5085209590966395E-2</v>
      </c>
      <c r="X15">
        <v>0.12883254341407682</v>
      </c>
      <c r="Y15">
        <v>8.983051322331323E-2</v>
      </c>
      <c r="Z15">
        <v>-6.3868538785904677E-2</v>
      </c>
      <c r="AA15">
        <v>9.1282342612198586E-2</v>
      </c>
    </row>
    <row r="16" spans="1:27" x14ac:dyDescent="0.25">
      <c r="A16" s="23" t="s">
        <v>17</v>
      </c>
      <c r="B16" s="7">
        <f>RSQ(B22:B33,$L22:$L33)</f>
        <v>0.4634542341288666</v>
      </c>
      <c r="C16" s="7">
        <f t="shared" ref="C16:K16" si="8">RSQ(C22:C33,$L22:$L33)</f>
        <v>0.11422487565090804</v>
      </c>
      <c r="D16" s="25">
        <f t="shared" si="8"/>
        <v>0.7057068776318397</v>
      </c>
      <c r="E16" s="25">
        <f t="shared" si="8"/>
        <v>0.33916400693695348</v>
      </c>
      <c r="F16" s="25">
        <f t="shared" si="8"/>
        <v>0.46127144185984043</v>
      </c>
      <c r="G16" s="25">
        <f t="shared" si="8"/>
        <v>0.36433386985812161</v>
      </c>
      <c r="H16" s="25">
        <f t="shared" si="8"/>
        <v>1.6107406551714516E-2</v>
      </c>
      <c r="I16" s="25">
        <f t="shared" si="8"/>
        <v>0.40098686404374961</v>
      </c>
      <c r="J16" s="25">
        <f t="shared" si="8"/>
        <v>0.13310509712655033</v>
      </c>
      <c r="K16" s="25">
        <f t="shared" si="8"/>
        <v>4.4881895677297392E-3</v>
      </c>
      <c r="Q16">
        <v>-2.9282607941129007E-2</v>
      </c>
      <c r="R16">
        <v>-9.7194054992428263E-3</v>
      </c>
      <c r="S16">
        <v>1.003912292506277E-2</v>
      </c>
      <c r="T16">
        <v>6.1451789964699848E-2</v>
      </c>
      <c r="U16">
        <v>2.0122788496892165E-2</v>
      </c>
      <c r="V16">
        <v>2.5016308966911132E-2</v>
      </c>
      <c r="W16">
        <v>-6.1170722058974062E-3</v>
      </c>
      <c r="X16">
        <v>9.716912681081398E-2</v>
      </c>
      <c r="Y16">
        <v>7.7760296221411167E-3</v>
      </c>
      <c r="Z16">
        <v>3.2072078351321164E-2</v>
      </c>
      <c r="AA16">
        <v>4.1125387473083919E-2</v>
      </c>
    </row>
    <row r="17" spans="1:29" x14ac:dyDescent="0.25">
      <c r="A17" s="23" t="s">
        <v>18</v>
      </c>
      <c r="B17" s="7"/>
      <c r="Q17">
        <v>6.5718661102905128E-3</v>
      </c>
      <c r="R17">
        <v>8.8737304433890565E-2</v>
      </c>
      <c r="S17">
        <v>-1.0064390811188801E-2</v>
      </c>
      <c r="T17">
        <v>-1.7444030372531633E-2</v>
      </c>
      <c r="U17">
        <v>1.9391505405047263E-2</v>
      </c>
      <c r="V17">
        <v>-6.9978988389343862E-3</v>
      </c>
      <c r="W17">
        <v>2.9307130830317693E-4</v>
      </c>
      <c r="X17">
        <v>9.5885278877689707E-3</v>
      </c>
      <c r="Y17">
        <v>9.2849807386246819E-2</v>
      </c>
      <c r="Z17">
        <v>5.6626232409531942E-2</v>
      </c>
      <c r="AA17">
        <v>1.6750380690470249E-2</v>
      </c>
    </row>
    <row r="18" spans="1:29" x14ac:dyDescent="0.25">
      <c r="A18" s="24" t="s">
        <v>19</v>
      </c>
      <c r="B18" s="8"/>
    </row>
    <row r="20" spans="1:29" x14ac:dyDescent="0.25">
      <c r="A20" s="64" t="s">
        <v>0</v>
      </c>
      <c r="B20" s="58" t="s">
        <v>22</v>
      </c>
      <c r="C20" s="58"/>
      <c r="D20" s="58"/>
      <c r="E20" s="58"/>
      <c r="F20" s="58"/>
      <c r="G20" s="58"/>
      <c r="H20" s="58"/>
      <c r="I20" s="58"/>
      <c r="J20" s="58"/>
      <c r="K20" s="58"/>
      <c r="L20" s="59"/>
    </row>
    <row r="21" spans="1:29" x14ac:dyDescent="0.25">
      <c r="A21" s="65"/>
      <c r="B21" s="29" t="s">
        <v>1145</v>
      </c>
      <c r="C21" s="29" t="s">
        <v>1147</v>
      </c>
      <c r="D21" s="29" t="s">
        <v>1156</v>
      </c>
      <c r="E21" s="29" t="s">
        <v>1157</v>
      </c>
      <c r="F21" s="29" t="s">
        <v>1158</v>
      </c>
      <c r="G21" s="29" t="s">
        <v>1159</v>
      </c>
      <c r="H21" s="29" t="s">
        <v>1160</v>
      </c>
      <c r="I21" s="29" t="s">
        <v>1161</v>
      </c>
      <c r="J21" s="29" t="s">
        <v>1162</v>
      </c>
      <c r="K21" s="29" t="s">
        <v>1163</v>
      </c>
      <c r="L21" s="30" t="s">
        <v>7</v>
      </c>
      <c r="Q21" t="s">
        <v>1</v>
      </c>
      <c r="R21">
        <v>-8.2510570879901711E-4</v>
      </c>
      <c r="S21">
        <v>0.14355516455046435</v>
      </c>
      <c r="T21">
        <v>2.0581321578087557E-2</v>
      </c>
      <c r="U21">
        <v>6.1914029286726513E-2</v>
      </c>
      <c r="V21">
        <v>6.8687937295348611E-2</v>
      </c>
      <c r="W21">
        <v>1.6367005022334541E-2</v>
      </c>
      <c r="X21">
        <v>-3.1440079123229388E-2</v>
      </c>
      <c r="Y21">
        <v>-8.2919910045148967E-2</v>
      </c>
      <c r="Z21">
        <v>1.2661940759890451E-3</v>
      </c>
      <c r="AA21">
        <v>9.9270012940632188E-2</v>
      </c>
      <c r="AB21">
        <v>-2.9282607941129007E-2</v>
      </c>
      <c r="AC21">
        <v>6.5718661102905128E-3</v>
      </c>
    </row>
    <row r="22" spans="1:29" x14ac:dyDescent="0.25">
      <c r="A22" s="13">
        <v>44986</v>
      </c>
      <c r="B22" s="36">
        <f>(Portfolio_BestFund!C7-Portfolio_BestFund!C6)/Portfolio_BestFund!C6</f>
        <v>-8.2510570879901711E-4</v>
      </c>
      <c r="C22" s="36">
        <f>(Portfolio_BestFund!D7-Portfolio_BestFund!D6)/Portfolio_BestFund!D6</f>
        <v>-2.563796529194497E-2</v>
      </c>
      <c r="D22">
        <f>(Portfolio_BestFund!E7-Portfolio_BestFund!E6)/Portfolio_BestFund!E6</f>
        <v>-7.488473794472808E-2</v>
      </c>
      <c r="E22">
        <f>(Portfolio_BestFund!F7-Portfolio_BestFund!F6)/Portfolio_BestFund!F6</f>
        <v>-9.2310866335628718E-3</v>
      </c>
      <c r="F22">
        <f>(Portfolio_BestFund!G7-Portfolio_BestFund!G6)/Portfolio_BestFund!G6</f>
        <v>-4.027394663230599E-2</v>
      </c>
      <c r="G22">
        <f>(Portfolio_BestFund!H7-Portfolio_BestFund!H6)/Portfolio_BestFund!H6</f>
        <v>-1.340613959035338E-3</v>
      </c>
      <c r="H22">
        <f>(Portfolio_BestFund!I7-Portfolio_BestFund!I6)/Portfolio_BestFund!I6</f>
        <v>-3.3554109689736974E-2</v>
      </c>
      <c r="I22">
        <f>(Portfolio_BestFund!J7-Portfolio_BestFund!J6)/Portfolio_BestFund!J6</f>
        <v>2.1205006028528317E-2</v>
      </c>
      <c r="J22">
        <f>(Portfolio_BestFund!K7-Portfolio_BestFund!K6)/Portfolio_BestFund!K6</f>
        <v>-8.1314451938518523E-2</v>
      </c>
      <c r="K22">
        <f>(Portfolio_BestFund!L7-Portfolio_BestFund!L6)/Portfolio_BestFund!L6</f>
        <v>-3.1243471381503081E-2</v>
      </c>
      <c r="L22">
        <f>(Portfolio_BestFund!M7-Portfolio_BestFund!M6)/Portfolio_BestFund!M6</f>
        <v>-2.4445330144812129E-2</v>
      </c>
      <c r="Q22" t="s">
        <v>777</v>
      </c>
      <c r="R22">
        <v>-2.563796529194497E-2</v>
      </c>
      <c r="S22">
        <v>0.16632154141091052</v>
      </c>
      <c r="T22">
        <v>6.3816404523057202E-2</v>
      </c>
      <c r="U22">
        <v>8.8427769438277001E-2</v>
      </c>
      <c r="V22">
        <v>1.6266774552093639E-2</v>
      </c>
      <c r="W22">
        <v>-4.8817833195006956E-3</v>
      </c>
      <c r="X22">
        <v>-2.2834015458767652E-2</v>
      </c>
      <c r="Y22">
        <v>-2.0872682385147334E-2</v>
      </c>
      <c r="Z22">
        <v>7.5419578781538696E-2</v>
      </c>
      <c r="AA22">
        <v>8.2179911114810711E-2</v>
      </c>
      <c r="AB22">
        <v>-9.7194054992428263E-3</v>
      </c>
      <c r="AC22">
        <v>8.8737304433890565E-2</v>
      </c>
    </row>
    <row r="23" spans="1:29" x14ac:dyDescent="0.25">
      <c r="A23" s="13">
        <v>45017</v>
      </c>
      <c r="B23" s="36">
        <f>(Portfolio_BestFund!C8-Portfolio_BestFund!C7)/Portfolio_BestFund!C7</f>
        <v>0.14355516455046435</v>
      </c>
      <c r="C23" s="36">
        <f>(Portfolio_BestFund!D8-Portfolio_BestFund!D7)/Portfolio_BestFund!D7</f>
        <v>0.16632154141091052</v>
      </c>
      <c r="D23">
        <f>(Portfolio_BestFund!E8-Portfolio_BestFund!E7)/Portfolio_BestFund!E7</f>
        <v>2.8052687775006663E-2</v>
      </c>
      <c r="E23">
        <f>(Portfolio_BestFund!F8-Portfolio_BestFund!F7)/Portfolio_BestFund!F7</f>
        <v>-0.1928094192703797</v>
      </c>
      <c r="F23">
        <f>(Portfolio_BestFund!G8-Portfolio_BestFund!G7)/Portfolio_BestFund!G7</f>
        <v>6.0142726449526736E-2</v>
      </c>
      <c r="G23">
        <f>(Portfolio_BestFund!H8-Portfolio_BestFund!H7)/Portfolio_BestFund!H7</f>
        <v>6.5195809546303746E-2</v>
      </c>
      <c r="H23">
        <f>(Portfolio_BestFund!I8-Portfolio_BestFund!I7)/Portfolio_BestFund!I7</f>
        <v>4.7254016526388019E-2</v>
      </c>
      <c r="I23">
        <f>(Portfolio_BestFund!J8-Portfolio_BestFund!J7)/Portfolio_BestFund!J7</f>
        <v>-8.6916865130825582E-2</v>
      </c>
      <c r="J23">
        <f>(Portfolio_BestFund!K8-Portfolio_BestFund!K7)/Portfolio_BestFund!K7</f>
        <v>2.4020939999193049E-2</v>
      </c>
      <c r="K23">
        <f>(Portfolio_BestFund!L8-Portfolio_BestFund!L7)/Portfolio_BestFund!L7</f>
        <v>6.0934664239414307E-2</v>
      </c>
      <c r="L23">
        <f>(Portfolio_BestFund!M8-Portfolio_BestFund!M7)/Portfolio_BestFund!M7</f>
        <v>3.2466294430069501E-2</v>
      </c>
      <c r="Q23" t="s">
        <v>5</v>
      </c>
      <c r="R23">
        <v>-7.488473794472808E-2</v>
      </c>
      <c r="S23">
        <v>2.8052687775006663E-2</v>
      </c>
      <c r="T23">
        <v>4.303474489854487E-2</v>
      </c>
      <c r="U23">
        <v>-5.537904938493822E-2</v>
      </c>
      <c r="V23">
        <v>5.7007979811872583E-2</v>
      </c>
      <c r="W23">
        <v>3.391486427384701E-2</v>
      </c>
      <c r="X23">
        <v>-4.979574689148103E-2</v>
      </c>
      <c r="Y23">
        <v>-3.3212873709841675E-2</v>
      </c>
      <c r="Z23">
        <v>-4.163707192530279E-2</v>
      </c>
      <c r="AA23">
        <v>6.5169159205742941E-2</v>
      </c>
      <c r="AB23">
        <v>1.003912292506277E-2</v>
      </c>
      <c r="AC23">
        <v>-1.0064390811188801E-2</v>
      </c>
    </row>
    <row r="24" spans="1:29" x14ac:dyDescent="0.25">
      <c r="A24" s="13">
        <v>45047</v>
      </c>
      <c r="B24" s="36">
        <f>(Portfolio_BestFund!C9-Portfolio_BestFund!C8)/Portfolio_BestFund!C8</f>
        <v>2.0581321578087557E-2</v>
      </c>
      <c r="C24" s="36">
        <f>(Portfolio_BestFund!D9-Portfolio_BestFund!D8)/Portfolio_BestFund!D8</f>
        <v>6.3816404523057202E-2</v>
      </c>
      <c r="D24">
        <f>(Portfolio_BestFund!E9-Portfolio_BestFund!E8)/Portfolio_BestFund!E8</f>
        <v>4.303474489854487E-2</v>
      </c>
      <c r="E24">
        <f>(Portfolio_BestFund!F9-Portfolio_BestFund!F8)/Portfolio_BestFund!F8</f>
        <v>4.6171098601740426E-3</v>
      </c>
      <c r="F24">
        <f>(Portfolio_BestFund!G9-Portfolio_BestFund!G8)/Portfolio_BestFund!G8</f>
        <v>3.0448741657336638E-2</v>
      </c>
      <c r="G24">
        <f>(Portfolio_BestFund!H9-Portfolio_BestFund!H8)/Portfolio_BestFund!H8</f>
        <v>5.030132973030791E-2</v>
      </c>
      <c r="H24">
        <f>(Portfolio_BestFund!I9-Portfolio_BestFund!I8)/Portfolio_BestFund!I8</f>
        <v>-1.2572109868277186E-2</v>
      </c>
      <c r="I24">
        <f>(Portfolio_BestFund!J9-Portfolio_BestFund!J8)/Portfolio_BestFund!J8</f>
        <v>8.4818630727701891E-2</v>
      </c>
      <c r="J24">
        <f>(Portfolio_BestFund!K9-Portfolio_BestFund!K8)/Portfolio_BestFund!K8</f>
        <v>-1.3003623670496955E-2</v>
      </c>
      <c r="K24">
        <f>(Portfolio_BestFund!L9-Portfolio_BestFund!L8)/Portfolio_BestFund!L8</f>
        <v>1.9503676286661845E-2</v>
      </c>
      <c r="L24">
        <f>(Portfolio_BestFund!M9-Portfolio_BestFund!M8)/Portfolio_BestFund!M8</f>
        <v>1.5564407629197865E-2</v>
      </c>
      <c r="Q24" t="s">
        <v>1167</v>
      </c>
      <c r="R24">
        <v>-9.2310866335628718E-3</v>
      </c>
      <c r="S24">
        <v>-0.1928094192703797</v>
      </c>
      <c r="T24">
        <v>4.6171098601740426E-3</v>
      </c>
      <c r="U24">
        <v>-9.4620163319361919E-2</v>
      </c>
      <c r="V24">
        <v>0.14347555239353732</v>
      </c>
      <c r="W24">
        <v>3.2641338549891E-2</v>
      </c>
      <c r="X24">
        <v>-8.3448737296078403E-3</v>
      </c>
      <c r="Y24">
        <v>-0.10480684927602464</v>
      </c>
      <c r="Z24">
        <v>-4.2016763804439305E-2</v>
      </c>
      <c r="AA24">
        <v>0.10808796330903368</v>
      </c>
      <c r="AB24">
        <v>6.1451789964699848E-2</v>
      </c>
      <c r="AC24">
        <v>-1.7444030372531633E-2</v>
      </c>
    </row>
    <row r="25" spans="1:29" x14ac:dyDescent="0.25">
      <c r="A25" s="13">
        <v>45078</v>
      </c>
      <c r="B25" s="36">
        <f>(Portfolio_BestFund!C10-Portfolio_BestFund!C9)/Portfolio_BestFund!C9</f>
        <v>6.1914029286726513E-2</v>
      </c>
      <c r="C25" s="36">
        <f>(Portfolio_BestFund!D10-Portfolio_BestFund!D9)/Portfolio_BestFund!D9</f>
        <v>8.8427769438277001E-2</v>
      </c>
      <c r="D25">
        <f>(Portfolio_BestFund!E10-Portfolio_BestFund!E9)/Portfolio_BestFund!E9</f>
        <v>-5.537904938493822E-2</v>
      </c>
      <c r="E25">
        <f>(Portfolio_BestFund!F10-Portfolio_BestFund!F9)/Portfolio_BestFund!F9</f>
        <v>-9.4620163319361919E-2</v>
      </c>
      <c r="F25">
        <f>(Portfolio_BestFund!G10-Portfolio_BestFund!G9)/Portfolio_BestFund!G9</f>
        <v>-6.6874072281093933E-2</v>
      </c>
      <c r="G25">
        <f>(Portfolio_BestFund!H10-Portfolio_BestFund!H9)/Portfolio_BestFund!H9</f>
        <v>-4.9509550276470048E-2</v>
      </c>
      <c r="H25">
        <f>(Portfolio_BestFund!I10-Portfolio_BestFund!I9)/Portfolio_BestFund!I9</f>
        <v>-9.8630834038476889E-2</v>
      </c>
      <c r="I25">
        <f>(Portfolio_BestFund!J10-Portfolio_BestFund!J9)/Portfolio_BestFund!J9</f>
        <v>-2.5637359740980969E-2</v>
      </c>
      <c r="J25">
        <f>(Portfolio_BestFund!K10-Portfolio_BestFund!K9)/Portfolio_BestFund!K9</f>
        <v>-7.7240969632801984E-2</v>
      </c>
      <c r="K25">
        <f>(Portfolio_BestFund!L10-Portfolio_BestFund!L9)/Portfolio_BestFund!L9</f>
        <v>-2.7574380936448321E-2</v>
      </c>
      <c r="L25">
        <f>(Portfolio_BestFund!M10-Portfolio_BestFund!M9)/Portfolio_BestFund!M9</f>
        <v>4.3120243135827937E-3</v>
      </c>
      <c r="Q25" t="s">
        <v>1168</v>
      </c>
      <c r="R25">
        <v>-4.027394663230599E-2</v>
      </c>
      <c r="S25">
        <v>6.0142726449526736E-2</v>
      </c>
      <c r="T25">
        <v>3.0448741657336638E-2</v>
      </c>
      <c r="U25">
        <v>-6.6874072281093933E-2</v>
      </c>
      <c r="V25">
        <v>9.6666971842447914E-3</v>
      </c>
      <c r="W25">
        <v>1.9643423419293527E-2</v>
      </c>
      <c r="X25">
        <v>-3.9825142726924813E-2</v>
      </c>
      <c r="Y25">
        <v>-6.4575986214349568E-2</v>
      </c>
      <c r="Z25">
        <v>1.7303516445450078E-2</v>
      </c>
      <c r="AA25">
        <v>3.8979461666718729E-2</v>
      </c>
      <c r="AB25">
        <v>2.0122788496892165E-2</v>
      </c>
      <c r="AC25">
        <v>1.9391505405047263E-2</v>
      </c>
    </row>
    <row r="26" spans="1:29" x14ac:dyDescent="0.25">
      <c r="A26" s="13">
        <v>45108</v>
      </c>
      <c r="B26" s="36">
        <f>(Portfolio_BestFund!C11-Portfolio_BestFund!C10)/Portfolio_BestFund!C10</f>
        <v>6.8687937295348611E-2</v>
      </c>
      <c r="C26" s="36">
        <f>(Portfolio_BestFund!D11-Portfolio_BestFund!D10)/Portfolio_BestFund!D10</f>
        <v>1.6266774552093639E-2</v>
      </c>
      <c r="D26">
        <f>(Portfolio_BestFund!E11-Portfolio_BestFund!E10)/Portfolio_BestFund!E10</f>
        <v>5.7007979811872583E-2</v>
      </c>
      <c r="E26">
        <f>(Portfolio_BestFund!F11-Portfolio_BestFund!F10)/Portfolio_BestFund!F10</f>
        <v>0.14347555239353732</v>
      </c>
      <c r="F26">
        <f>(Portfolio_BestFund!G11-Portfolio_BestFund!G10)/Portfolio_BestFund!G10</f>
        <v>9.6666971842447914E-3</v>
      </c>
      <c r="G26">
        <f>(Portfolio_BestFund!H11-Portfolio_BestFund!H10)/Portfolio_BestFund!H10</f>
        <v>1.8716744148494585E-2</v>
      </c>
      <c r="H26">
        <f>(Portfolio_BestFund!I11-Portfolio_BestFund!I10)/Portfolio_BestFund!I10</f>
        <v>3.9667167665539613E-2</v>
      </c>
      <c r="I26">
        <f>(Portfolio_BestFund!J11-Portfolio_BestFund!J10)/Portfolio_BestFund!J10</f>
        <v>6.563453015784626E-2</v>
      </c>
      <c r="J26">
        <f>(Portfolio_BestFund!K11-Portfolio_BestFund!K10)/Portfolio_BestFund!K10</f>
        <v>4.3672942477101545E-2</v>
      </c>
      <c r="K26">
        <f>(Portfolio_BestFund!L11-Portfolio_BestFund!L10)/Portfolio_BestFund!L10</f>
        <v>7.3197239133158593E-2</v>
      </c>
      <c r="L26">
        <f>(Portfolio_BestFund!M11-Portfolio_BestFund!M10)/Portfolio_BestFund!M10</f>
        <v>6.1893800274163947E-2</v>
      </c>
      <c r="Q26" t="s">
        <v>26</v>
      </c>
      <c r="R26">
        <v>-1.340613959035338E-3</v>
      </c>
      <c r="S26">
        <v>6.5195809546303746E-2</v>
      </c>
      <c r="T26">
        <v>5.030132973030791E-2</v>
      </c>
      <c r="U26">
        <v>-4.9509550276470048E-2</v>
      </c>
      <c r="V26">
        <v>1.8716744148494585E-2</v>
      </c>
      <c r="W26">
        <v>6.5732822229691793E-3</v>
      </c>
      <c r="X26">
        <v>-6.1556576111477183E-2</v>
      </c>
      <c r="Y26">
        <v>-3.5078763965029382E-2</v>
      </c>
      <c r="Z26">
        <v>-2.5418236674942328E-2</v>
      </c>
      <c r="AA26">
        <v>2.3169815232319747E-2</v>
      </c>
      <c r="AB26">
        <v>2.5016308966911132E-2</v>
      </c>
      <c r="AC26">
        <v>-6.9978988389343862E-3</v>
      </c>
    </row>
    <row r="27" spans="1:29" x14ac:dyDescent="0.25">
      <c r="A27" s="13">
        <v>45139</v>
      </c>
      <c r="B27" s="36">
        <f>(Portfolio_BestFund!C12-Portfolio_BestFund!C11)/Portfolio_BestFund!C11</f>
        <v>1.6367005022334541E-2</v>
      </c>
      <c r="C27" s="36">
        <f>(Portfolio_BestFund!D12-Portfolio_BestFund!D11)/Portfolio_BestFund!D11</f>
        <v>-4.8817833195006956E-3</v>
      </c>
      <c r="D27">
        <f>(Portfolio_BestFund!E12-Portfolio_BestFund!E11)/Portfolio_BestFund!E11</f>
        <v>3.391486427384701E-2</v>
      </c>
      <c r="E27">
        <f>(Portfolio_BestFund!F12-Portfolio_BestFund!F11)/Portfolio_BestFund!F11</f>
        <v>3.2641338549891E-2</v>
      </c>
      <c r="F27">
        <f>(Portfolio_BestFund!G12-Portfolio_BestFund!G11)/Portfolio_BestFund!G11</f>
        <v>1.9643423419293527E-2</v>
      </c>
      <c r="G27">
        <f>(Portfolio_BestFund!H12-Portfolio_BestFund!H11)/Portfolio_BestFund!H11</f>
        <v>6.5732822229691793E-3</v>
      </c>
      <c r="H27">
        <f>(Portfolio_BestFund!I12-Portfolio_BestFund!I11)/Portfolio_BestFund!I11</f>
        <v>-7.8168280760023776E-3</v>
      </c>
      <c r="I27">
        <f>(Portfolio_BestFund!J12-Portfolio_BestFund!J11)/Portfolio_BestFund!J11</f>
        <v>7.2095982684848944E-2</v>
      </c>
      <c r="J27">
        <f>(Portfolio_BestFund!K12-Portfolio_BestFund!K11)/Portfolio_BestFund!K11</f>
        <v>-0.10327249464018662</v>
      </c>
      <c r="K27">
        <f>(Portfolio_BestFund!L12-Portfolio_BestFund!L11)/Portfolio_BestFund!L11</f>
        <v>5.7522113971146763E-3</v>
      </c>
      <c r="L27">
        <f>(Portfolio_BestFund!M12-Portfolio_BestFund!M11)/Portfolio_BestFund!M11</f>
        <v>3.207813717848796E-2</v>
      </c>
      <c r="Q27" t="s">
        <v>30</v>
      </c>
      <c r="R27">
        <v>-3.3554109689736974E-2</v>
      </c>
      <c r="S27">
        <v>4.7254016526388019E-2</v>
      </c>
      <c r="T27">
        <v>-1.2572109868277186E-2</v>
      </c>
      <c r="U27">
        <v>-9.8630834038476889E-2</v>
      </c>
      <c r="V27">
        <v>3.9667167665539613E-2</v>
      </c>
      <c r="W27">
        <v>-7.8168280760023776E-3</v>
      </c>
      <c r="X27">
        <v>6.4715754255648822E-2</v>
      </c>
      <c r="Y27">
        <v>1.8587039048159327E-2</v>
      </c>
      <c r="Z27">
        <v>-8.6396247522822628E-2</v>
      </c>
      <c r="AA27">
        <v>-2.5085209590966395E-2</v>
      </c>
      <c r="AB27">
        <v>-6.1170722058974062E-3</v>
      </c>
      <c r="AC27">
        <v>2.9307130830317693E-4</v>
      </c>
    </row>
    <row r="28" spans="1:29" x14ac:dyDescent="0.25">
      <c r="A28" s="13">
        <v>45170</v>
      </c>
      <c r="B28" s="36">
        <f>(Portfolio_BestFund!C13-Portfolio_BestFund!C12)/Portfolio_BestFund!C12</f>
        <v>-3.1440079123229388E-2</v>
      </c>
      <c r="C28" s="36">
        <f>(Portfolio_BestFund!D13-Portfolio_BestFund!D12)/Portfolio_BestFund!D12</f>
        <v>-2.2834015458767652E-2</v>
      </c>
      <c r="D28">
        <f>(Portfolio_BestFund!E13-Portfolio_BestFund!E12)/Portfolio_BestFund!E12</f>
        <v>-4.979574689148103E-2</v>
      </c>
      <c r="E28">
        <f>(Portfolio_BestFund!F13-Portfolio_BestFund!F12)/Portfolio_BestFund!F12</f>
        <v>-8.3448737296078403E-3</v>
      </c>
      <c r="F28">
        <f>(Portfolio_BestFund!G13-Portfolio_BestFund!G12)/Portfolio_BestFund!G12</f>
        <v>-3.9825142726924813E-2</v>
      </c>
      <c r="G28">
        <f>(Portfolio_BestFund!H13-Portfolio_BestFund!H12)/Portfolio_BestFund!H12</f>
        <v>-6.1556576111477183E-2</v>
      </c>
      <c r="H28">
        <f>(Portfolio_BestFund!I13-Portfolio_BestFund!I12)/Portfolio_BestFund!I12</f>
        <v>6.4715754255648822E-2</v>
      </c>
      <c r="I28">
        <f>(Portfolio_BestFund!J13-Portfolio_BestFund!J12)/Portfolio_BestFund!J12</f>
        <v>-6.5911603475718228E-2</v>
      </c>
      <c r="J28">
        <f>(Portfolio_BestFund!K13-Portfolio_BestFund!K12)/Portfolio_BestFund!K12</f>
        <v>4.2775958484044113E-2</v>
      </c>
      <c r="K28">
        <f>(Portfolio_BestFund!L13-Portfolio_BestFund!L12)/Portfolio_BestFund!L12</f>
        <v>1.5460996009276818E-2</v>
      </c>
      <c r="L28">
        <f>(Portfolio_BestFund!M13-Portfolio_BestFund!M12)/Portfolio_BestFund!M12</f>
        <v>-1.5929955396124889E-2</v>
      </c>
      <c r="Q28" t="s">
        <v>674</v>
      </c>
      <c r="R28">
        <v>2.1205006028528317E-2</v>
      </c>
      <c r="S28">
        <v>-8.6916865130825582E-2</v>
      </c>
      <c r="T28">
        <v>8.4818630727701891E-2</v>
      </c>
      <c r="U28">
        <v>-2.5637359740980969E-2</v>
      </c>
      <c r="V28">
        <v>6.563453015784626E-2</v>
      </c>
      <c r="W28">
        <v>7.2095982684848944E-2</v>
      </c>
      <c r="X28">
        <v>-6.5911603475718228E-2</v>
      </c>
      <c r="Y28">
        <v>-2.0773756297550478E-2</v>
      </c>
      <c r="Z28">
        <v>-3.3595337605341516E-2</v>
      </c>
      <c r="AA28">
        <v>0.12883254341407682</v>
      </c>
      <c r="AB28">
        <v>9.716912681081398E-2</v>
      </c>
      <c r="AC28">
        <v>9.5885278877689707E-3</v>
      </c>
    </row>
    <row r="29" spans="1:29" x14ac:dyDescent="0.25">
      <c r="A29" s="13">
        <v>45200</v>
      </c>
      <c r="B29" s="36">
        <f>(Portfolio_BestFund!C14-Portfolio_BestFund!C13)/Portfolio_BestFund!C13</f>
        <v>-8.2919910045148967E-2</v>
      </c>
      <c r="C29" s="36">
        <f>(Portfolio_BestFund!D14-Portfolio_BestFund!D13)/Portfolio_BestFund!D13</f>
        <v>-2.0872682385147334E-2</v>
      </c>
      <c r="D29">
        <f>(Portfolio_BestFund!E14-Portfolio_BestFund!E13)/Portfolio_BestFund!E13</f>
        <v>-3.3212873709841675E-2</v>
      </c>
      <c r="E29">
        <f>(Portfolio_BestFund!F14-Portfolio_BestFund!F13)/Portfolio_BestFund!F13</f>
        <v>-0.10480684927602464</v>
      </c>
      <c r="F29">
        <f>(Portfolio_BestFund!G14-Portfolio_BestFund!G13)/Portfolio_BestFund!G13</f>
        <v>-6.4575986214349568E-2</v>
      </c>
      <c r="G29">
        <f>(Portfolio_BestFund!H14-Portfolio_BestFund!H13)/Portfolio_BestFund!H13</f>
        <v>-3.5078763965029382E-2</v>
      </c>
      <c r="H29">
        <f>(Portfolio_BestFund!I14-Portfolio_BestFund!I13)/Portfolio_BestFund!I13</f>
        <v>1.8587039048159327E-2</v>
      </c>
      <c r="I29">
        <f>(Portfolio_BestFund!J14-Portfolio_BestFund!J13)/Portfolio_BestFund!J13</f>
        <v>-2.0773756297550478E-2</v>
      </c>
      <c r="J29">
        <f>(Portfolio_BestFund!K14-Portfolio_BestFund!K13)/Portfolio_BestFund!K13</f>
        <v>-8.8927146505820426E-2</v>
      </c>
      <c r="K29">
        <f>(Portfolio_BestFund!L14-Portfolio_BestFund!L13)/Portfolio_BestFund!L13</f>
        <v>-9.0981840322159994E-3</v>
      </c>
      <c r="L29">
        <f>(Portfolio_BestFund!M14-Portfolio_BestFund!M13)/Portfolio_BestFund!M13</f>
        <v>-5.1297424336898753E-2</v>
      </c>
      <c r="Q29" t="s">
        <v>1169</v>
      </c>
      <c r="R29">
        <v>-8.1314451938518523E-2</v>
      </c>
      <c r="S29">
        <v>2.4020939999193049E-2</v>
      </c>
      <c r="T29">
        <v>-1.3003623670496955E-2</v>
      </c>
      <c r="U29">
        <v>-7.7240969632801984E-2</v>
      </c>
      <c r="V29">
        <v>4.3672942477101545E-2</v>
      </c>
      <c r="W29">
        <v>-0.10327249464018662</v>
      </c>
      <c r="X29">
        <v>4.2775958484044113E-2</v>
      </c>
      <c r="Y29">
        <v>-8.8927146505820426E-2</v>
      </c>
      <c r="Z29">
        <v>0.11460961179990602</v>
      </c>
      <c r="AA29">
        <v>8.983051322331323E-2</v>
      </c>
      <c r="AB29">
        <v>7.7760296221411167E-3</v>
      </c>
      <c r="AC29">
        <v>9.2849807386246819E-2</v>
      </c>
    </row>
    <row r="30" spans="1:29" x14ac:dyDescent="0.25">
      <c r="A30" s="13">
        <v>45231</v>
      </c>
      <c r="B30" s="36">
        <f>(Portfolio_BestFund!C15-Portfolio_BestFund!C14)/Portfolio_BestFund!C14</f>
        <v>1.2661940759890451E-3</v>
      </c>
      <c r="C30" s="36">
        <f>(Portfolio_BestFund!D15-Portfolio_BestFund!D14)/Portfolio_BestFund!D14</f>
        <v>7.5419578781538696E-2</v>
      </c>
      <c r="D30">
        <f>(Portfolio_BestFund!E15-Portfolio_BestFund!E14)/Portfolio_BestFund!E14</f>
        <v>-4.163707192530279E-2</v>
      </c>
      <c r="E30">
        <f>(Portfolio_BestFund!F15-Portfolio_BestFund!F14)/Portfolio_BestFund!F14</f>
        <v>-4.2016763804439305E-2</v>
      </c>
      <c r="F30">
        <f>(Portfolio_BestFund!G15-Portfolio_BestFund!G14)/Portfolio_BestFund!G14</f>
        <v>1.7303516445450078E-2</v>
      </c>
      <c r="G30">
        <f>(Portfolio_BestFund!H15-Portfolio_BestFund!H14)/Portfolio_BestFund!H14</f>
        <v>-2.5418236674942328E-2</v>
      </c>
      <c r="H30">
        <f>(Portfolio_BestFund!I15-Portfolio_BestFund!I14)/Portfolio_BestFund!I14</f>
        <v>-8.6396247522822628E-2</v>
      </c>
      <c r="I30">
        <f>(Portfolio_BestFund!J15-Portfolio_BestFund!J14)/Portfolio_BestFund!J14</f>
        <v>-3.3595337605341516E-2</v>
      </c>
      <c r="J30">
        <f>(Portfolio_BestFund!K15-Portfolio_BestFund!K14)/Portfolio_BestFund!K14</f>
        <v>0.11460961179990602</v>
      </c>
      <c r="K30">
        <f>(Portfolio_BestFund!L15-Portfolio_BestFund!L14)/Portfolio_BestFund!L14</f>
        <v>2.979388054913339E-2</v>
      </c>
      <c r="L30">
        <f>(Portfolio_BestFund!M15-Portfolio_BestFund!M14)/Portfolio_BestFund!M14</f>
        <v>-2.1057155135367388E-2</v>
      </c>
      <c r="Q30" t="s">
        <v>1170</v>
      </c>
      <c r="R30">
        <v>-3.1243471381503081E-2</v>
      </c>
      <c r="S30">
        <v>6.0934664239414307E-2</v>
      </c>
      <c r="T30">
        <v>1.9503676286661845E-2</v>
      </c>
      <c r="U30">
        <v>-2.7574380936448321E-2</v>
      </c>
      <c r="V30">
        <v>7.3197239133158593E-2</v>
      </c>
      <c r="W30">
        <v>5.7522113971146763E-3</v>
      </c>
      <c r="X30">
        <v>1.5460996009276818E-2</v>
      </c>
      <c r="Y30">
        <v>-9.0981840322159994E-3</v>
      </c>
      <c r="Z30">
        <v>2.979388054913339E-2</v>
      </c>
      <c r="AA30">
        <v>-6.3868538785904677E-2</v>
      </c>
      <c r="AB30">
        <v>3.2072078351321164E-2</v>
      </c>
      <c r="AC30">
        <v>5.6626232409531942E-2</v>
      </c>
    </row>
    <row r="31" spans="1:29" x14ac:dyDescent="0.25">
      <c r="A31" s="13">
        <v>45261</v>
      </c>
      <c r="B31" s="36">
        <f>(Portfolio_BestFund!C16-Portfolio_BestFund!C15)/Portfolio_BestFund!C15</f>
        <v>9.9270012940632188E-2</v>
      </c>
      <c r="C31" s="36">
        <f>(Portfolio_BestFund!D16-Portfolio_BestFund!D15)/Portfolio_BestFund!D15</f>
        <v>8.2179911114810711E-2</v>
      </c>
      <c r="D31">
        <f>(Portfolio_BestFund!E16-Portfolio_BestFund!E15)/Portfolio_BestFund!E15</f>
        <v>6.5169159205742941E-2</v>
      </c>
      <c r="E31">
        <f>(Portfolio_BestFund!F16-Portfolio_BestFund!F15)/Portfolio_BestFund!F15</f>
        <v>0.10808796330903368</v>
      </c>
      <c r="F31">
        <f>(Portfolio_BestFund!G16-Portfolio_BestFund!G15)/Portfolio_BestFund!G15</f>
        <v>3.8979461666718729E-2</v>
      </c>
      <c r="G31">
        <f>(Portfolio_BestFund!H16-Portfolio_BestFund!H15)/Portfolio_BestFund!H15</f>
        <v>2.3169815232319747E-2</v>
      </c>
      <c r="H31">
        <f>(Portfolio_BestFund!I16-Portfolio_BestFund!I15)/Portfolio_BestFund!I15</f>
        <v>-2.5085209590966395E-2</v>
      </c>
      <c r="I31">
        <f>(Portfolio_BestFund!J16-Portfolio_BestFund!J15)/Portfolio_BestFund!J15</f>
        <v>0.12883254341407682</v>
      </c>
      <c r="J31">
        <f>(Portfolio_BestFund!K16-Portfolio_BestFund!K15)/Portfolio_BestFund!K15</f>
        <v>8.983051322331323E-2</v>
      </c>
      <c r="K31">
        <f>(Portfolio_BestFund!L16-Portfolio_BestFund!L15)/Portfolio_BestFund!L15</f>
        <v>-6.3868538785904677E-2</v>
      </c>
      <c r="L31">
        <f>(Portfolio_BestFund!M16-Portfolio_BestFund!M15)/Portfolio_BestFund!M15</f>
        <v>9.1282342612198586E-2</v>
      </c>
      <c r="Q31" t="s">
        <v>7</v>
      </c>
      <c r="R31">
        <v>-2.4445330144812129E-2</v>
      </c>
      <c r="S31">
        <v>3.2466294430069501E-2</v>
      </c>
      <c r="T31">
        <v>1.5564407629197865E-2</v>
      </c>
      <c r="U31">
        <v>4.3120243135827937E-3</v>
      </c>
      <c r="V31">
        <v>6.1893800274163947E-2</v>
      </c>
      <c r="W31">
        <v>3.207813717848796E-2</v>
      </c>
      <c r="X31">
        <v>-1.5929955396124889E-2</v>
      </c>
      <c r="Y31">
        <v>-5.1297424336898753E-2</v>
      </c>
      <c r="Z31">
        <v>-2.1057155135367388E-2</v>
      </c>
      <c r="AA31">
        <v>9.1282342612198586E-2</v>
      </c>
      <c r="AB31">
        <v>4.1125387473083919E-2</v>
      </c>
      <c r="AC31">
        <v>1.6750380690470249E-2</v>
      </c>
    </row>
    <row r="32" spans="1:29" x14ac:dyDescent="0.25">
      <c r="A32" s="13">
        <v>45292</v>
      </c>
      <c r="B32" s="36">
        <f>(Portfolio_BestFund!C17-Portfolio_BestFund!C16)/Portfolio_BestFund!C16</f>
        <v>-2.9282607941129007E-2</v>
      </c>
      <c r="C32" s="36">
        <f>(Portfolio_BestFund!D17-Portfolio_BestFund!D16)/Portfolio_BestFund!D16</f>
        <v>-9.7194054992428263E-3</v>
      </c>
      <c r="D32">
        <f>(Portfolio_BestFund!E17-Portfolio_BestFund!E16)/Portfolio_BestFund!E16</f>
        <v>1.003912292506277E-2</v>
      </c>
      <c r="E32">
        <f>(Portfolio_BestFund!F17-Portfolio_BestFund!F16)/Portfolio_BestFund!F16</f>
        <v>6.1451789964699848E-2</v>
      </c>
      <c r="F32">
        <f>(Portfolio_BestFund!G17-Portfolio_BestFund!G16)/Portfolio_BestFund!G16</f>
        <v>2.0122788496892165E-2</v>
      </c>
      <c r="G32">
        <f>(Portfolio_BestFund!H17-Portfolio_BestFund!H16)/Portfolio_BestFund!H16</f>
        <v>2.5016308966911132E-2</v>
      </c>
      <c r="H32">
        <f>(Portfolio_BestFund!I17-Portfolio_BestFund!I16)/Portfolio_BestFund!I16</f>
        <v>-6.1170722058974062E-3</v>
      </c>
      <c r="I32">
        <f>(Portfolio_BestFund!J17-Portfolio_BestFund!J16)/Portfolio_BestFund!J16</f>
        <v>9.716912681081398E-2</v>
      </c>
      <c r="J32">
        <f>(Portfolio_BestFund!K17-Portfolio_BestFund!K16)/Portfolio_BestFund!K16</f>
        <v>7.7760296221411167E-3</v>
      </c>
      <c r="K32">
        <f>(Portfolio_BestFund!L17-Portfolio_BestFund!L16)/Portfolio_BestFund!L16</f>
        <v>3.2072078351321164E-2</v>
      </c>
      <c r="L32">
        <f>(Portfolio_BestFund!M17-Portfolio_BestFund!M16)/Portfolio_BestFund!M16</f>
        <v>4.1125387473083919E-2</v>
      </c>
    </row>
    <row r="33" spans="1:27" x14ac:dyDescent="0.25">
      <c r="A33" s="14">
        <v>45323</v>
      </c>
      <c r="B33" s="36">
        <f>(Portfolio_BestFund!C18-Portfolio_BestFund!C17)/Portfolio_BestFund!C17</f>
        <v>6.5718661102905128E-3</v>
      </c>
      <c r="C33" s="36">
        <f>(Portfolio_BestFund!D18-Portfolio_BestFund!D17)/Portfolio_BestFund!D17</f>
        <v>8.8737304433890565E-2</v>
      </c>
      <c r="D33">
        <f>(Portfolio_BestFund!E18-Portfolio_BestFund!E17)/Portfolio_BestFund!E17</f>
        <v>-1.0064390811188801E-2</v>
      </c>
      <c r="E33">
        <f>(Portfolio_BestFund!F18-Portfolio_BestFund!F17)/Portfolio_BestFund!F17</f>
        <v>-1.7444030372531633E-2</v>
      </c>
      <c r="F33">
        <f>(Portfolio_BestFund!G18-Portfolio_BestFund!G17)/Portfolio_BestFund!G17</f>
        <v>1.9391505405047263E-2</v>
      </c>
      <c r="G33">
        <f>(Portfolio_BestFund!H18-Portfolio_BestFund!H17)/Portfolio_BestFund!H17</f>
        <v>-6.9978988389343862E-3</v>
      </c>
      <c r="H33">
        <f>(Portfolio_BestFund!I18-Portfolio_BestFund!I17)/Portfolio_BestFund!I17</f>
        <v>2.9307130830317693E-4</v>
      </c>
      <c r="I33">
        <f>(Portfolio_BestFund!J18-Portfolio_BestFund!J17)/Portfolio_BestFund!J17</f>
        <v>9.5885278877689707E-3</v>
      </c>
      <c r="J33">
        <f>(Portfolio_BestFund!K18-Portfolio_BestFund!K17)/Portfolio_BestFund!K17</f>
        <v>9.2849807386246819E-2</v>
      </c>
      <c r="K33">
        <f>(Portfolio_BestFund!L18-Portfolio_BestFund!L17)/Portfolio_BestFund!L17</f>
        <v>5.6626232409531942E-2</v>
      </c>
      <c r="L33">
        <f>(Portfolio_BestFund!M18-Portfolio_BestFund!M17)/Portfolio_BestFund!M17</f>
        <v>1.6750380690470249E-2</v>
      </c>
    </row>
    <row r="34" spans="1:27" x14ac:dyDescent="0.25">
      <c r="Q34" t="s">
        <v>1199</v>
      </c>
      <c r="R34">
        <v>0</v>
      </c>
      <c r="S34">
        <v>0.49248899860409356</v>
      </c>
      <c r="T34">
        <v>0</v>
      </c>
      <c r="U34">
        <v>0</v>
      </c>
      <c r="V34">
        <v>0</v>
      </c>
      <c r="W34">
        <v>0</v>
      </c>
      <c r="X34">
        <v>0</v>
      </c>
      <c r="Y34">
        <v>0.2926736324358456</v>
      </c>
      <c r="Z34">
        <v>0</v>
      </c>
      <c r="AA34">
        <v>0.21483736896006073</v>
      </c>
    </row>
    <row r="35" spans="1:27" x14ac:dyDescent="0.25">
      <c r="R35">
        <v>0</v>
      </c>
      <c r="S35">
        <v>0.49248899860409356</v>
      </c>
      <c r="T35">
        <v>0</v>
      </c>
      <c r="U35">
        <v>0</v>
      </c>
      <c r="V35">
        <v>0</v>
      </c>
      <c r="W35">
        <v>0</v>
      </c>
      <c r="X35">
        <v>0</v>
      </c>
      <c r="Y35">
        <v>0.2926736324358456</v>
      </c>
      <c r="Z35">
        <v>0</v>
      </c>
      <c r="AA35">
        <v>0.21483736896006073</v>
      </c>
    </row>
    <row r="37" spans="1:27" x14ac:dyDescent="0.25">
      <c r="D37" t="str">
        <f>B2</f>
        <v>AAPL</v>
      </c>
      <c r="E37" t="str">
        <f t="shared" ref="E37:M37" si="9">C2</f>
        <v>MSFT</v>
      </c>
      <c r="F37" t="str">
        <f t="shared" si="9"/>
        <v>JNJ</v>
      </c>
      <c r="G37" t="str">
        <f t="shared" si="9"/>
        <v>PG</v>
      </c>
      <c r="H37" t="str">
        <f t="shared" si="9"/>
        <v>KO</v>
      </c>
      <c r="I37" t="str">
        <f t="shared" si="9"/>
        <v>PEP</v>
      </c>
      <c r="J37" t="str">
        <f t="shared" si="9"/>
        <v>XOM</v>
      </c>
      <c r="K37" t="str">
        <f t="shared" si="9"/>
        <v>JPM</v>
      </c>
      <c r="L37" t="str">
        <f t="shared" si="9"/>
        <v>VZ</v>
      </c>
      <c r="M37" t="str">
        <f t="shared" si="9"/>
        <v>WMT</v>
      </c>
    </row>
    <row r="38" spans="1:27" x14ac:dyDescent="0.25">
      <c r="C38" s="36" t="str">
        <f>A15</f>
        <v>Beta</v>
      </c>
      <c r="D38">
        <f t="shared" ref="D38:O38" si="10">B15</f>
        <v>1.0538314928175565</v>
      </c>
      <c r="E38">
        <f t="shared" si="10"/>
        <v>0.51718036315821003</v>
      </c>
      <c r="F38">
        <f t="shared" si="10"/>
        <v>1.0088449585314434</v>
      </c>
      <c r="G38">
        <f t="shared" si="10"/>
        <v>1.354234327041888</v>
      </c>
      <c r="H38">
        <f t="shared" si="10"/>
        <v>0.71392624084781353</v>
      </c>
      <c r="I38">
        <f t="shared" si="10"/>
        <v>0.58402470762984104</v>
      </c>
      <c r="J38">
        <f t="shared" si="10"/>
        <v>0.15626853115972736</v>
      </c>
      <c r="K38">
        <f t="shared" si="10"/>
        <v>1.0912483628995207</v>
      </c>
      <c r="L38">
        <f t="shared" si="10"/>
        <v>0.70228663507367017</v>
      </c>
      <c r="M38">
        <f t="shared" si="10"/>
        <v>6.877103226229514E-2</v>
      </c>
      <c r="N38">
        <f t="shared" si="10"/>
        <v>0</v>
      </c>
      <c r="O38">
        <f t="shared" si="10"/>
        <v>0</v>
      </c>
    </row>
    <row r="39" spans="1:27" x14ac:dyDescent="0.25">
      <c r="C39" s="36" t="str">
        <f>A4</f>
        <v>Mean</v>
      </c>
      <c r="D39">
        <f t="shared" ref="D39:M39" si="11">B4</f>
        <v>2.2812152336797249E-2</v>
      </c>
      <c r="E39">
        <f t="shared" si="11"/>
        <v>4.1435286024997901E-2</v>
      </c>
      <c r="F39">
        <f t="shared" si="11"/>
        <v>-2.3129426481169799E-3</v>
      </c>
      <c r="G39">
        <f t="shared" si="11"/>
        <v>-9.9166193607143314E-3</v>
      </c>
      <c r="H39">
        <f t="shared" si="11"/>
        <v>3.4580940581963585E-4</v>
      </c>
      <c r="I39">
        <f t="shared" si="11"/>
        <v>7.5597083511813514E-4</v>
      </c>
      <c r="J39">
        <f t="shared" si="11"/>
        <v>-8.3046135156784103E-3</v>
      </c>
      <c r="K39">
        <f t="shared" si="11"/>
        <v>2.0542452121764036E-2</v>
      </c>
      <c r="L39">
        <f t="shared" si="11"/>
        <v>4.3147597170101202E-3</v>
      </c>
      <c r="M39">
        <f t="shared" si="11"/>
        <v>1.3463033603295054E-2</v>
      </c>
    </row>
    <row r="44" spans="1:27" x14ac:dyDescent="0.25">
      <c r="A44" s="39" t="s">
        <v>1171</v>
      </c>
      <c r="B44" s="39" t="s">
        <v>1172</v>
      </c>
      <c r="C44" s="39" t="s">
        <v>1198</v>
      </c>
    </row>
    <row r="45" spans="1:27" x14ac:dyDescent="0.25">
      <c r="A45" s="36" t="str">
        <f>D37</f>
        <v>AAPL</v>
      </c>
      <c r="B45" s="36">
        <f>SLOPE(B22:B33,$L22:$L33)</f>
        <v>1.0538314928175565</v>
      </c>
      <c r="C45" s="36">
        <f>AVERAGE(B22:B33)</f>
        <v>2.2812152336797249E-2</v>
      </c>
    </row>
    <row r="46" spans="1:27" x14ac:dyDescent="0.25">
      <c r="A46" s="36" t="str">
        <f>E37</f>
        <v>MSFT</v>
      </c>
      <c r="B46" s="36">
        <f t="shared" ref="B46:B54" si="12">SLOPE(B23:B34,$L23:$L34)</f>
        <v>1.1032813025182457</v>
      </c>
      <c r="C46" s="36">
        <f t="shared" ref="C46:C54" si="13">AVERAGE(B23:B34)</f>
        <v>2.4960993977306001E-2</v>
      </c>
    </row>
    <row r="47" spans="1:27" x14ac:dyDescent="0.25">
      <c r="A47" s="36" t="str">
        <f>F37</f>
        <v>JNJ</v>
      </c>
      <c r="B47" s="36">
        <f t="shared" si="12"/>
        <v>1.0043873453788443</v>
      </c>
      <c r="C47" s="36">
        <f t="shared" si="13"/>
        <v>1.3101576919990162E-2</v>
      </c>
    </row>
    <row r="48" spans="1:27" x14ac:dyDescent="0.25">
      <c r="A48" s="36" t="str">
        <f>G37</f>
        <v>PG</v>
      </c>
      <c r="B48" s="36">
        <f t="shared" si="12"/>
        <v>1.0056562077975073</v>
      </c>
      <c r="C48" s="36">
        <f t="shared" si="13"/>
        <v>1.2270494180201562E-2</v>
      </c>
    </row>
    <row r="49" spans="1:3" x14ac:dyDescent="0.25">
      <c r="A49" s="36" t="str">
        <f>H37</f>
        <v>KO</v>
      </c>
      <c r="B49" s="36">
        <f t="shared" si="12"/>
        <v>1.0669072859891302</v>
      </c>
      <c r="C49" s="36">
        <f t="shared" si="13"/>
        <v>6.065052291885943E-3</v>
      </c>
    </row>
    <row r="50" spans="1:3" x14ac:dyDescent="0.25">
      <c r="A50" s="36" t="str">
        <f>I37</f>
        <v>PEP</v>
      </c>
      <c r="B50" s="36">
        <f t="shared" si="12"/>
        <v>1.0044944741595347</v>
      </c>
      <c r="C50" s="36">
        <f t="shared" si="13"/>
        <v>-2.8810741371801544E-3</v>
      </c>
    </row>
    <row r="51" spans="1:3" x14ac:dyDescent="0.25">
      <c r="A51" s="36" t="str">
        <f>J37</f>
        <v>XOM</v>
      </c>
      <c r="B51" s="36">
        <f t="shared" si="12"/>
        <v>1.0038806397951485</v>
      </c>
      <c r="C51" s="36">
        <f t="shared" si="13"/>
        <v>-6.089087330432604E-3</v>
      </c>
    </row>
    <row r="52" spans="1:3" x14ac:dyDescent="0.25">
      <c r="A52" s="36" t="str">
        <f>K37</f>
        <v>JPM</v>
      </c>
      <c r="B52" s="36">
        <f t="shared" si="12"/>
        <v>1.005998630867212</v>
      </c>
      <c r="C52" s="36">
        <f t="shared" si="13"/>
        <v>-1.0188889718732454E-3</v>
      </c>
    </row>
    <row r="53" spans="1:3" x14ac:dyDescent="0.25">
      <c r="A53" s="36" t="str">
        <f>L37</f>
        <v>VZ</v>
      </c>
      <c r="B53" s="36">
        <f t="shared" si="12"/>
        <v>0.81988739968632141</v>
      </c>
      <c r="C53" s="36">
        <f t="shared" si="13"/>
        <v>1.9456366296445683E-2</v>
      </c>
    </row>
    <row r="54" spans="1:3" x14ac:dyDescent="0.25">
      <c r="A54" s="36" t="str">
        <f>M37</f>
        <v>WMT</v>
      </c>
      <c r="B54" s="36">
        <f t="shared" si="12"/>
        <v>1.440624420903704</v>
      </c>
      <c r="C54" s="36">
        <f t="shared" si="13"/>
        <v>2.5519757036597895E-2</v>
      </c>
    </row>
    <row r="58" spans="1:3" x14ac:dyDescent="0.25">
      <c r="A58" s="36" t="s">
        <v>1210</v>
      </c>
      <c r="B58" s="36" t="s">
        <v>1172</v>
      </c>
      <c r="C58" s="36" t="s">
        <v>1211</v>
      </c>
    </row>
    <row r="59" spans="1:3" x14ac:dyDescent="0.25">
      <c r="A59" s="36" t="str">
        <f>A45</f>
        <v>AAPL</v>
      </c>
      <c r="B59">
        <v>0</v>
      </c>
      <c r="C59">
        <v>0</v>
      </c>
    </row>
    <row r="60" spans="1:3" x14ac:dyDescent="0.25">
      <c r="A60" s="36" t="str">
        <f t="shared" ref="A60:A68" si="14">A46</f>
        <v>MSFT</v>
      </c>
      <c r="B60">
        <v>1.8757040440633832</v>
      </c>
      <c r="C60">
        <v>2.0406422521325407E-2</v>
      </c>
    </row>
    <row r="61" spans="1:3" x14ac:dyDescent="0.25">
      <c r="A61" s="36" t="str">
        <f t="shared" si="14"/>
        <v>JNJ</v>
      </c>
      <c r="B61">
        <v>0</v>
      </c>
      <c r="C61">
        <v>0</v>
      </c>
    </row>
    <row r="62" spans="1:3" x14ac:dyDescent="0.25">
      <c r="A62" s="36" t="str">
        <f t="shared" si="14"/>
        <v>PG</v>
      </c>
      <c r="B62">
        <v>0</v>
      </c>
      <c r="C62">
        <v>0</v>
      </c>
    </row>
    <row r="63" spans="1:3" x14ac:dyDescent="0.25">
      <c r="A63" s="36" t="str">
        <f t="shared" si="14"/>
        <v>KO</v>
      </c>
      <c r="B63">
        <v>0</v>
      </c>
      <c r="C63">
        <v>0</v>
      </c>
    </row>
    <row r="64" spans="1:3" x14ac:dyDescent="0.25">
      <c r="A64" s="36" t="str">
        <f t="shared" si="14"/>
        <v>PEP</v>
      </c>
      <c r="B64">
        <v>0</v>
      </c>
      <c r="C64">
        <v>0</v>
      </c>
    </row>
    <row r="65" spans="1:3" x14ac:dyDescent="0.25">
      <c r="A65" s="36" t="str">
        <f t="shared" si="14"/>
        <v>XOM</v>
      </c>
      <c r="B65">
        <v>0</v>
      </c>
      <c r="C65">
        <v>0</v>
      </c>
    </row>
    <row r="66" spans="1:3" x14ac:dyDescent="0.25">
      <c r="A66" s="36" t="str">
        <f t="shared" si="14"/>
        <v>JPM</v>
      </c>
      <c r="B66">
        <v>0.15964370308079479</v>
      </c>
      <c r="C66">
        <v>6.0122340816161244E-3</v>
      </c>
    </row>
    <row r="67" spans="1:3" x14ac:dyDescent="0.25">
      <c r="A67" s="36" t="str">
        <f t="shared" si="14"/>
        <v>VZ</v>
      </c>
      <c r="B67">
        <v>0</v>
      </c>
      <c r="C67">
        <v>0</v>
      </c>
    </row>
    <row r="68" spans="1:3" x14ac:dyDescent="0.25">
      <c r="A68" s="36" t="str">
        <f t="shared" si="14"/>
        <v>WMT</v>
      </c>
      <c r="B68">
        <v>0.13737317361625681</v>
      </c>
      <c r="C68">
        <v>2.8923627175527953E-3</v>
      </c>
    </row>
  </sheetData>
  <mergeCells count="6">
    <mergeCell ref="L1:L2"/>
    <mergeCell ref="A3:L3"/>
    <mergeCell ref="A7:L7"/>
    <mergeCell ref="A12:B12"/>
    <mergeCell ref="A20:A21"/>
    <mergeCell ref="B20:L20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2fce25-8f27-4bac-bd2e-576e883f15e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D55AB5B005254A954AF2D8F4C3D0BD" ma:contentTypeVersion="10" ma:contentTypeDescription="Create a new document." ma:contentTypeScope="" ma:versionID="81d7275531ee2a675119ee7a9c9f337b">
  <xsd:schema xmlns:xsd="http://www.w3.org/2001/XMLSchema" xmlns:xs="http://www.w3.org/2001/XMLSchema" xmlns:p="http://schemas.microsoft.com/office/2006/metadata/properties" xmlns:ns3="de2fce25-8f27-4bac-bd2e-576e883f15ed" targetNamespace="http://schemas.microsoft.com/office/2006/metadata/properties" ma:root="true" ma:fieldsID="ceae17b99e7374f561adde24d7324b77" ns3:_="">
    <xsd:import namespace="de2fce25-8f27-4bac-bd2e-576e883f15e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2fce25-8f27-4bac-bd2e-576e883f15e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69FCB7-532B-47B9-9D91-B5C5A25C44CA}">
  <ds:schemaRefs>
    <ds:schemaRef ds:uri="de2fce25-8f27-4bac-bd2e-576e883f15ed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DFE3AFA-12D7-48D9-98B2-048E35713A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07304B-07DC-4191-B25A-F273F8CD42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2fce25-8f27-4bac-bd2e-576e883f15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S&amp;P500 List</vt:lpstr>
      <vt:lpstr>Price_Data</vt:lpstr>
      <vt:lpstr>Portfolio_Template</vt:lpstr>
      <vt:lpstr>Portfolio_BestFund</vt:lpstr>
      <vt:lpstr>Returns</vt:lpstr>
      <vt:lpstr>efficient portfolio</vt:lpstr>
      <vt:lpstr>Frontier</vt:lpstr>
      <vt:lpstr>Efficient Solver Portfolio</vt:lpstr>
      <vt:lpstr>regression</vt:lpstr>
      <vt:lpstr>Regression 2</vt:lpstr>
      <vt:lpstr>covar</vt:lpstr>
      <vt:lpstr>calculations</vt:lpstr>
      <vt:lpstr>constant</vt:lpstr>
      <vt:lpstr>pmean</vt:lpstr>
      <vt:lpstr>proportions</vt:lpstr>
      <vt:lpstr>psigma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Ashwin Arulselvan</dc:creator>
  <cp:lastModifiedBy>Anosia Chirayil (Student)</cp:lastModifiedBy>
  <dcterms:created xsi:type="dcterms:W3CDTF">2019-05-29T12:37:31Z</dcterms:created>
  <dcterms:modified xsi:type="dcterms:W3CDTF">2025-04-02T02:15:51Z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0x010100A7D55AB5B005254A954AF2D8F4C3D0BD</vt:lpwstr>
  </property>
</Properties>
</file>